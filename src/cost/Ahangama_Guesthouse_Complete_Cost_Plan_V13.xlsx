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d7824d548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c261ff24f5e4117"/>
    <x:sheet xmlns:r="http://schemas.openxmlformats.org/officeDocument/2006/relationships" name="Detailed BOQ" sheetId="2" r:id="Rfc710e5322ba43e3"/>
    <x:sheet xmlns:r="http://schemas.openxmlformats.org/officeDocument/2006/relationships" name="Cost Summary" sheetId="3" r:id="R587d5eac4c664d82"/>
    <x:sheet xmlns:r="http://schemas.openxmlformats.org/officeDocument/2006/relationships" name="Scope &amp; Risks" sheetId="4" r:id="R04db9c9b8dc04fcf"/>
    <x:sheet xmlns:r="http://schemas.openxmlformats.org/officeDocument/2006/relationships" name="Sources" sheetId="5" r:id="R65fa73bae13f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;[Red](#,##0);-"/>
  </x:numFmts>
  <x:fonts count="4">
    <x:font>
      <x:sz val="11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color rgb="FF173C3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B2"/>
      </x:patternFill>
    </x:fill>
    <x:fill>
      <x:patternFill patternType="solid">
        <x:fgColor rgb="FF16354A"/>
      </x:patternFill>
    </x:fill>
    <x:fill>
      <x:patternFill patternType="solid">
        <x:fgColor rgb="FFDDEFE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1" fontId="1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c3fe7bae04a76" /><Relationship Type="http://schemas.openxmlformats.org/officeDocument/2006/relationships/theme" Target="/xl/theme/theme1.xml" Id="R3b4d05db7e694828" /><Relationship Type="http://schemas.openxmlformats.org/officeDocument/2006/relationships/sharedStrings" Target="/xl/sharedStrings.xml" Id="R49674eb91b6e4a74" /><Relationship Type="http://schemas.openxmlformats.org/officeDocument/2006/relationships/worksheet" Target="/xl/worksheets/sheet1.xml" Id="Rcc261ff24f5e4117" /><Relationship Type="http://schemas.openxmlformats.org/officeDocument/2006/relationships/worksheet" Target="/xl/worksheets/sheet2.xml" Id="Rfc710e5322ba43e3" /><Relationship Type="http://schemas.openxmlformats.org/officeDocument/2006/relationships/worksheet" Target="/xl/worksheets/sheet3.xml" Id="R587d5eac4c664d82" /><Relationship Type="http://schemas.openxmlformats.org/officeDocument/2006/relationships/worksheet" Target="/xl/worksheets/sheet4.xml" Id="R04db9c9b8dc04fcf" /><Relationship Type="http://schemas.openxmlformats.org/officeDocument/2006/relationships/worksheet" Target="/xl/worksheets/sheet5.xml" Id="R65fa73bae13f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16" hidden="0" customWidth="1"/>
    <x:col min="4" max="4" width="78" hidden="0" customWidth="1"/>
  </x:cols>
  <x:sheetData>
    <x:row r="1" ht="32" customHeight="1">
      <x:c r="A1" s="17" t="str">
        <x:v>AHANGAMA | PROTOTYPE COST PLAN</x:v>
      </x:c>
      <x:c r="B1" s="17" t="str">
        <x:v>Value</x:v>
      </x:c>
      <x:c r="C1" s="17" t="str">
        <x:v>Unit</x:v>
      </x:c>
      <x:c r="D1" s="17" t="str">
        <x:v>Basis / qualification</x:v>
      </x:c>
    </x:row>
    <x:row r="3">
      <x:c r="A3" t="str">
        <x:v>Estimate date</x:v>
      </x:c>
      <x:c r="B3" s="4" t="str">
        <x:v>2026-10-14</x:v>
      </x:c>
      <x:c r="C3" t="str"/>
      <x:c r="D3" t="str">
        <x:v>Planning estimate</x:v>
      </x:c>
    </x:row>
    <x:row r="4">
      <x:c r="A4" t="str">
        <x:v>Plot area</x:v>
      </x:c>
      <x:c r="B4" s="4" t="n">
        <x:v>20</x:v>
      </x:c>
      <x:c r="C4" t="str">
        <x:v>perches</x:v>
      </x:c>
      <x:c r="D4" t="str">
        <x:v>Prototype assumption; boundaries unknown</x:v>
      </x:c>
    </x:row>
    <x:row r="5">
      <x:c r="A5" t="str">
        <x:v>Site area</x:v>
      </x:c>
      <x:c r="B5" s="4" t="n">
        <x:v>505.857</x:v>
      </x:c>
      <x:c r="C5" t="str">
        <x:v>m²</x:v>
      </x:c>
      <x:c r="D5" t="str">
        <x:v>20 perches x 25.29285 m²</x:v>
      </x:c>
    </x:row>
    <x:row r="6">
      <x:c r="A6" t="str">
        <x:v>Building length</x:v>
      </x:c>
      <x:c r="B6" s="4" t="n">
        <x:v>16</x:v>
      </x:c>
      <x:c r="C6" t="str">
        <x:v>m</x:v>
      </x:c>
      <x:c r="D6" t="str">
        <x:v>Provisional</x:v>
      </x:c>
    </x:row>
    <x:row r="7">
      <x:c r="A7" t="str">
        <x:v>Building width</x:v>
      </x:c>
      <x:c r="B7" s="4" t="n">
        <x:v>7</x:v>
      </x:c>
      <x:c r="C7" t="str">
        <x:v>m</x:v>
      </x:c>
      <x:c r="D7" t="str">
        <x:v>Provisional</x:v>
      </x:c>
    </x:row>
    <x:row r="8">
      <x:c r="A8" t="str">
        <x:v>Ground floor area</x:v>
      </x:c>
      <x:c r="B8" s="4" t="n">
        <x:v>112</x:v>
      </x:c>
      <x:c r="C8" t="str">
        <x:v>m²</x:v>
      </x:c>
      <x:c r="D8" t="str">
        <x:v>16 x 7</x:v>
      </x:c>
    </x:row>
    <x:row r="9">
      <x:c r="A9" t="str">
        <x:v>First floor area</x:v>
      </x:c>
      <x:c r="B9" s="4" t="n">
        <x:v>112</x:v>
      </x:c>
      <x:c r="C9" t="str">
        <x:v>m²</x:v>
      </x:c>
      <x:c r="D9" t="str">
        <x:v>Covered open-sided lounge</x:v>
      </x:c>
    </x:row>
    <x:row r="10">
      <x:c r="A10" t="str">
        <x:v>Guestrooms</x:v>
      </x:c>
      <x:c r="B10" s="4" t="n">
        <x:v>4</x:v>
      </x:c>
      <x:c r="C10" t="str">
        <x:v>rooms</x:v>
      </x:c>
      <x:c r="D10" t="str">
        <x:v>Confirmed concept</x:v>
      </x:c>
    </x:row>
    <x:row r="11">
      <x:c r="A11" t="str">
        <x:v>First-floor AC units</x:v>
      </x:c>
      <x:c r="B11" s="4" t="n">
        <x:v>2</x:v>
      </x:c>
      <x:c r="C11" t="str">
        <x:v>units</x:v>
      </x:c>
      <x:c r="D11" t="str">
        <x:v>Requested; requires enclosed conditioned zone</x:v>
      </x:c>
    </x:row>
    <x:row r="12">
      <x:c r="A12" t="str">
        <x:v>Contingency</x:v>
      </x:c>
      <x:c r="B12" s="5" t="n">
        <x:v>0.15</x:v>
      </x:c>
      <x:c r="C12" t="str">
        <x:v>fraction</x:v>
      </x:c>
      <x:c r="D12" t="str">
        <x:v>Applied to priced works only</x:v>
      </x:c>
    </x:row>
    <x:row r="13">
      <x:c r="A13" t="str">
        <x:v>Site works allowance enabled</x:v>
      </x:c>
      <x:c r="B13" s="4" t="n">
        <x:v>1</x:v>
      </x:c>
      <x:c r="C13" t="str">
        <x:v>1=yes</x:v>
      </x:c>
      <x:c r="D13" t="str">
        <x:v>Provisional planning allowances</x:v>
      </x:c>
    </x:row>
    <x:row r="14">
      <x:c r="A14" t="str">
        <x:v>Fees and opening enabled</x:v>
      </x:c>
      <x:c r="B14" s="4" t="n">
        <x:v>1</x:v>
      </x:c>
      <x:c r="C14" t="str">
        <x:v>1=yes</x:v>
      </x:c>
      <x:c r="D14" t="str">
        <x:v>Provisional planning allowances</x:v>
      </x:c>
    </x:row>
    <x:row r="15">
      <x:c r="A15" t="str">
        <x:v>Generator rating target</x:v>
      </x:c>
      <x:c r="B15" s="4" t="n">
        <x:v>15</x:v>
      </x:c>
      <x:c r="C15" t="str">
        <x:v>kVA</x:v>
      </x:c>
      <x:c r="D15" t="str">
        <x:v>Provisional; size by starting loads and demand</x:v>
      </x:c>
    </x:row>
    <x:row r="16">
      <x:c r="A16" t="str">
        <x:v>First-floor enclosure upgrade</x:v>
      </x:c>
      <x:c r="B16" s="8" t="n">
        <x:v>0</x:v>
      </x:c>
      <x:c r="C16" t="str">
        <x:v>LKR</x:v>
      </x:c>
      <x:c r="D16" t="str">
        <x:v>UNPRICED; enter quote if conditioned zone created</x:v>
      </x:c>
    </x:row>
    <x:row r="17">
      <x:c r="B17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13" hidden="0" customWidth="1"/>
    <x:col min="4" max="4" width="12" hidden="0" customWidth="1"/>
    <x:col min="5" max="5" width="18" hidden="0" customWidth="1"/>
    <x:col min="6" max="6" width="20" hidden="0" customWidth="1"/>
    <x:col min="7" max="7" width="22" hidden="0" customWidth="1"/>
    <x:col min="8" max="8" width="80" hidden="0" customWidth="1"/>
    <x:col min="9" max="9" width="14" hidden="0" customWidth="1"/>
  </x:cols>
  <x:sheetData>
    <x:row r="1" ht="35" customHeight="1">
      <x:c r="A1" s="17" t="str">
        <x:v>Package</x:v>
      </x:c>
      <x:c r="B1" s="17" t="str">
        <x:v>Work item</x:v>
      </x:c>
      <x:c r="C1" s="17" t="str">
        <x:v>Quantity</x:v>
      </x:c>
      <x:c r="D1" s="17" t="str">
        <x:v>Unit</x:v>
      </x:c>
      <x:c r="E1" s="17" t="str">
        <x:v>Rate (LKR)</x:v>
      </x:c>
      <x:c r="F1" s="17" t="str">
        <x:v>Total (LKR)</x:v>
      </x:c>
      <x:c r="G1" s="17" t="str">
        <x:v>Source / confidence</x:v>
      </x:c>
      <x:c r="H1" s="17" t="str">
        <x:v>Qualifications / scope</x:v>
      </x:c>
      <x:c r="I1" s="17" t="str">
        <x:v>Status</x:v>
      </x:c>
    </x:row>
    <x:row r="2">
      <x:c r="A2" t="str">
        <x:v>01 RC structure</x:v>
      </x:c>
      <x:c r="B2" t="str">
        <x:v>Excavation/backfill/site prep</x:v>
      </x:c>
      <x:c r="C2" s="4" t="n">
        <x:v>1</x:v>
      </x:c>
      <x:c r="D2" t="str">
        <x:v>lot</x:v>
      </x:c>
      <x:c r="E2" s="10" t="n">
        <x:v>300000</x:v>
      </x:c>
      <x:c r="F2" s="11" t="n">
        <x:f>C2*E2</x:f>
        <x:v>300000</x:v>
      </x:c>
      <x:c r="G2" t="str">
        <x:v>Historical BOQ / prior takeoff</x:v>
      </x:c>
      <x:c r="H2" s="14" t="str">
        <x:v>Structural engineer to validate</x:v>
      </x:c>
      <x:c r="I2" t="str">
        <x:v>Included</x:v>
      </x:c>
    </x:row>
    <x:row r="3">
      <x:c r="A3" t="str">
        <x:v>01 RC structure</x:v>
      </x:c>
      <x:c r="B3" t="str">
        <x:v>Footing blinding</x:v>
      </x:c>
      <x:c r="C3" s="4" t="n">
        <x:v>25</x:v>
      </x:c>
      <x:c r="D3" t="str">
        <x:v>m²</x:v>
      </x:c>
      <x:c r="E3" s="10" t="n">
        <x:v>1700</x:v>
      </x:c>
      <x:c r="F3" s="11" t="n">
        <x:f>C3*E3</x:f>
        <x:v>42500</x:v>
      </x:c>
      <x:c r="G3" t="str">
        <x:v>Historical BOQ / prior takeoff</x:v>
      </x:c>
      <x:c r="H3" s="14" t="str">
        <x:v>Structural engineer to validate</x:v>
      </x:c>
      <x:c r="I3" t="str">
        <x:v>Included</x:v>
      </x:c>
    </x:row>
    <x:row r="4">
      <x:c r="A4" t="str">
        <x:v>01 RC structure</x:v>
      </x:c>
      <x:c r="B4" t="str">
        <x:v>Pad footing concrete</x:v>
      </x:c>
      <x:c r="C4" s="4" t="n">
        <x:v>10</x:v>
      </x:c>
      <x:c r="D4" t="str">
        <x:v>m³</x:v>
      </x:c>
      <x:c r="E4" s="10" t="n">
        <x:v>32000</x:v>
      </x:c>
      <x:c r="F4" s="11" t="n">
        <x:f>C4*E4</x:f>
        <x:v>320000</x:v>
      </x:c>
      <x:c r="G4" t="str">
        <x:v>Historical BOQ / prior takeoff</x:v>
      </x:c>
      <x:c r="H4" s="14" t="str">
        <x:v>Structural engineer to validate</x:v>
      </x:c>
      <x:c r="I4" t="str">
        <x:v>Included</x:v>
      </x:c>
    </x:row>
    <x:row r="5">
      <x:c r="A5" t="str">
        <x:v>01 RC structure</x:v>
      </x:c>
      <x:c r="B5" t="str">
        <x:v>Pad footing reinforcement</x:v>
      </x:c>
      <x:c r="C5" s="4" t="n">
        <x:v>950</x:v>
      </x:c>
      <x:c r="D5" t="str">
        <x:v>kg</x:v>
      </x:c>
      <x:c r="E5" s="10" t="n">
        <x:v>520</x:v>
      </x:c>
      <x:c r="F5" s="11" t="n">
        <x:f>C5*E5</x:f>
        <x:v>494000</x:v>
      </x:c>
      <x:c r="G5" t="str">
        <x:v>Historical BOQ / prior takeoff</x:v>
      </x:c>
      <x:c r="H5" s="14" t="str">
        <x:v>Structural engineer to validate</x:v>
      </x:c>
      <x:c r="I5" t="str">
        <x:v>Included</x:v>
      </x:c>
    </x:row>
    <x:row r="6">
      <x:c r="A6" t="str">
        <x:v>01 RC structure</x:v>
      </x:c>
      <x:c r="B6" t="str">
        <x:v>Pad footing formwork</x:v>
      </x:c>
      <x:c r="C6" s="4" t="n">
        <x:v>25</x:v>
      </x:c>
      <x:c r="D6" t="str">
        <x:v>m²</x:v>
      </x:c>
      <x:c r="E6" s="10" t="n">
        <x:v>3300</x:v>
      </x:c>
      <x:c r="F6" s="11" t="n">
        <x:f>C6*E6</x:f>
        <x:v>82500</x:v>
      </x:c>
      <x:c r="G6" t="str">
        <x:v>Historical BOQ / prior takeoff</x:v>
      </x:c>
      <x:c r="H6" s="14" t="str">
        <x:v>Structural engineer to validate</x:v>
      </x:c>
      <x:c r="I6" t="str">
        <x:v>Included</x:v>
      </x:c>
    </x:row>
    <x:row r="7">
      <x:c r="A7" t="str">
        <x:v>01 RC structure</x:v>
      </x:c>
      <x:c r="B7" t="str">
        <x:v>Ground tie beam concrete</x:v>
      </x:c>
      <x:c r="C7" s="4" t="n">
        <x:v>6</x:v>
      </x:c>
      <x:c r="D7" t="str">
        <x:v>m³</x:v>
      </x:c>
      <x:c r="E7" s="10" t="n">
        <x:v>32000</x:v>
      </x:c>
      <x:c r="F7" s="11" t="n">
        <x:f>C7*E7</x:f>
        <x:v>192000</x:v>
      </x:c>
      <x:c r="G7" t="str">
        <x:v>Historical BOQ / prior takeoff</x:v>
      </x:c>
      <x:c r="H7" s="14" t="str">
        <x:v>Structural engineer to validate</x:v>
      </x:c>
      <x:c r="I7" t="str">
        <x:v>Included</x:v>
      </x:c>
    </x:row>
    <x:row r="8">
      <x:c r="A8" t="str">
        <x:v>01 RC structure</x:v>
      </x:c>
      <x:c r="B8" t="str">
        <x:v>Ground tie beam reinforcement</x:v>
      </x:c>
      <x:c r="C8" s="4" t="n">
        <x:v>850</x:v>
      </x:c>
      <x:c r="D8" t="str">
        <x:v>kg</x:v>
      </x:c>
      <x:c r="E8" s="10" t="n">
        <x:v>520</x:v>
      </x:c>
      <x:c r="F8" s="11" t="n">
        <x:f>C8*E8</x:f>
        <x:v>442000</x:v>
      </x:c>
      <x:c r="G8" t="str">
        <x:v>Historical BOQ / prior takeoff</x:v>
      </x:c>
      <x:c r="H8" s="14" t="str">
        <x:v>Structural engineer to validate</x:v>
      </x:c>
      <x:c r="I8" t="str">
        <x:v>Included</x:v>
      </x:c>
    </x:row>
    <x:row r="9">
      <x:c r="A9" t="str">
        <x:v>01 RC structure</x:v>
      </x:c>
      <x:c r="B9" t="str">
        <x:v>Ground tie beam formwork</x:v>
      </x:c>
      <x:c r="C9" s="4" t="n">
        <x:v>55</x:v>
      </x:c>
      <x:c r="D9" t="str">
        <x:v>m²</x:v>
      </x:c>
      <x:c r="E9" s="10" t="n">
        <x:v>3300</x:v>
      </x:c>
      <x:c r="F9" s="11" t="n">
        <x:f>C9*E9</x:f>
        <x:v>181500</x:v>
      </x:c>
      <x:c r="G9" t="str">
        <x:v>Historical BOQ / prior takeoff</x:v>
      </x:c>
      <x:c r="H9" s="14" t="str">
        <x:v>Structural engineer to validate</x:v>
      </x:c>
      <x:c r="I9" t="str">
        <x:v>Included</x:v>
      </x:c>
    </x:row>
    <x:row r="10">
      <x:c r="A10" t="str">
        <x:v>01 RC structure</x:v>
      </x:c>
      <x:c r="B10" t="str">
        <x:v>RC columns concrete</x:v>
      </x:c>
      <x:c r="C10" s="4" t="n">
        <x:v>3.5</x:v>
      </x:c>
      <x:c r="D10" t="str">
        <x:v>m³</x:v>
      </x:c>
      <x:c r="E10" s="10" t="n">
        <x:v>32000</x:v>
      </x:c>
      <x:c r="F10" s="11" t="n">
        <x:f>C10*E10</x:f>
        <x:v>112000</x:v>
      </x:c>
      <x:c r="G10" t="str">
        <x:v>Historical BOQ / prior takeoff</x:v>
      </x:c>
      <x:c r="H10" s="14" t="str">
        <x:v>Structural engineer to validate</x:v>
      </x:c>
      <x:c r="I10" t="str">
        <x:v>Included</x:v>
      </x:c>
    </x:row>
    <x:row r="11">
      <x:c r="A11" t="str">
        <x:v>01 RC structure</x:v>
      </x:c>
      <x:c r="B11" t="str">
        <x:v>RC columns reinforcement</x:v>
      </x:c>
      <x:c r="C11" s="4" t="n">
        <x:v>600</x:v>
      </x:c>
      <x:c r="D11" t="str">
        <x:v>kg</x:v>
      </x:c>
      <x:c r="E11" s="10" t="n">
        <x:v>520</x:v>
      </x:c>
      <x:c r="F11" s="11" t="n">
        <x:f>C11*E11</x:f>
        <x:v>312000</x:v>
      </x:c>
      <x:c r="G11" t="str">
        <x:v>Historical BOQ / prior takeoff</x:v>
      </x:c>
      <x:c r="H11" s="14" t="str">
        <x:v>Structural engineer to validate</x:v>
      </x:c>
      <x:c r="I11" t="str">
        <x:v>Included</x:v>
      </x:c>
    </x:row>
    <x:row r="12">
      <x:c r="A12" t="str">
        <x:v>01 RC structure</x:v>
      </x:c>
      <x:c r="B12" t="str">
        <x:v>RC columns formwork</x:v>
      </x:c>
      <x:c r="C12" s="4" t="n">
        <x:v>50</x:v>
      </x:c>
      <x:c r="D12" t="str">
        <x:v>m²</x:v>
      </x:c>
      <x:c r="E12" s="10" t="n">
        <x:v>3900</x:v>
      </x:c>
      <x:c r="F12" s="11" t="n">
        <x:f>C12*E12</x:f>
        <x:v>195000</x:v>
      </x:c>
      <x:c r="G12" t="str">
        <x:v>Historical BOQ / prior takeoff</x:v>
      </x:c>
      <x:c r="H12" s="14" t="str">
        <x:v>Structural engineer to validate</x:v>
      </x:c>
      <x:c r="I12" t="str">
        <x:v>Included</x:v>
      </x:c>
    </x:row>
    <x:row r="13">
      <x:c r="A13" t="str">
        <x:v>01 RC structure</x:v>
      </x:c>
      <x:c r="B13" t="str">
        <x:v>First-floor beam concrete</x:v>
      </x:c>
      <x:c r="C13" s="4" t="n">
        <x:v>8</x:v>
      </x:c>
      <x:c r="D13" t="str">
        <x:v>m³</x:v>
      </x:c>
      <x:c r="E13" s="10" t="n">
        <x:v>32000</x:v>
      </x:c>
      <x:c r="F13" s="11" t="n">
        <x:f>C13*E13</x:f>
        <x:v>256000</x:v>
      </x:c>
      <x:c r="G13" t="str">
        <x:v>Historical BOQ / prior takeoff</x:v>
      </x:c>
      <x:c r="H13" s="14" t="str">
        <x:v>Structural engineer to validate</x:v>
      </x:c>
      <x:c r="I13" t="str">
        <x:v>Included</x:v>
      </x:c>
    </x:row>
    <x:row r="14">
      <x:c r="A14" t="str">
        <x:v>01 RC structure</x:v>
      </x:c>
      <x:c r="B14" t="str">
        <x:v>First-floor beam reinforcement</x:v>
      </x:c>
      <x:c r="C14" s="4" t="n">
        <x:v>1300</x:v>
      </x:c>
      <x:c r="D14" t="str">
        <x:v>kg</x:v>
      </x:c>
      <x:c r="E14" s="10" t="n">
        <x:v>520</x:v>
      </x:c>
      <x:c r="F14" s="11" t="n">
        <x:f>C14*E14</x:f>
        <x:v>676000</x:v>
      </x:c>
      <x:c r="G14" t="str">
        <x:v>Historical BOQ / prior takeoff</x:v>
      </x:c>
      <x:c r="H14" s="14" t="str">
        <x:v>Structural engineer to validate</x:v>
      </x:c>
      <x:c r="I14" t="str">
        <x:v>Included</x:v>
      </x:c>
    </x:row>
    <x:row r="15">
      <x:c r="A15" t="str">
        <x:v>01 RC structure</x:v>
      </x:c>
      <x:c r="B15" t="str">
        <x:v>First-floor beam formwork</x:v>
      </x:c>
      <x:c r="C15" s="4" t="n">
        <x:v>75</x:v>
      </x:c>
      <x:c r="D15" t="str">
        <x:v>m²</x:v>
      </x:c>
      <x:c r="E15" s="10" t="n">
        <x:v>3300</x:v>
      </x:c>
      <x:c r="F15" s="11" t="n">
        <x:f>C15*E15</x:f>
        <x:v>247500</x:v>
      </x:c>
      <x:c r="G15" t="str">
        <x:v>Historical BOQ / prior takeoff</x:v>
      </x:c>
      <x:c r="H15" s="14" t="str">
        <x:v>Structural engineer to validate</x:v>
      </x:c>
      <x:c r="I15" t="str">
        <x:v>Included</x:v>
      </x:c>
    </x:row>
    <x:row r="16">
      <x:c r="A16" t="str">
        <x:v>01 RC structure</x:v>
      </x:c>
      <x:c r="B16" t="str">
        <x:v>First-floor slab concrete</x:v>
      </x:c>
      <x:c r="C16" s="4" t="n">
        <x:v>16</x:v>
      </x:c>
      <x:c r="D16" t="str">
        <x:v>m³</x:v>
      </x:c>
      <x:c r="E16" s="10" t="n">
        <x:v>32000</x:v>
      </x:c>
      <x:c r="F16" s="11" t="n">
        <x:f>C16*E16</x:f>
        <x:v>512000</x:v>
      </x:c>
      <x:c r="G16" t="str">
        <x:v>Historical BOQ / prior takeoff</x:v>
      </x:c>
      <x:c r="H16" s="14" t="str">
        <x:v>Structural engineer to validate</x:v>
      </x:c>
      <x:c r="I16" t="str">
        <x:v>Included</x:v>
      </x:c>
    </x:row>
    <x:row r="17">
      <x:c r="A17" t="str">
        <x:v>01 RC structure</x:v>
      </x:c>
      <x:c r="B17" t="str">
        <x:v>First-floor slab reinforcement</x:v>
      </x:c>
      <x:c r="C17" s="4" t="n">
        <x:v>1500</x:v>
      </x:c>
      <x:c r="D17" t="str">
        <x:v>kg</x:v>
      </x:c>
      <x:c r="E17" s="10" t="n">
        <x:v>520</x:v>
      </x:c>
      <x:c r="F17" s="11" t="n">
        <x:f>C17*E17</x:f>
        <x:v>780000</x:v>
      </x:c>
      <x:c r="G17" t="str">
        <x:v>Historical BOQ / prior takeoff</x:v>
      </x:c>
      <x:c r="H17" s="14" t="str">
        <x:v>Structural engineer to validate</x:v>
      </x:c>
      <x:c r="I17" t="str">
        <x:v>Included</x:v>
      </x:c>
    </x:row>
    <x:row r="18">
      <x:c r="A18" t="str">
        <x:v>01 RC structure</x:v>
      </x:c>
      <x:c r="B18" t="str">
        <x:v>First-floor slab soffit formwork</x:v>
      </x:c>
      <x:c r="C18" s="4" t="n">
        <x:v>112</x:v>
      </x:c>
      <x:c r="D18" t="str">
        <x:v>m²</x:v>
      </x:c>
      <x:c r="E18" s="10" t="n">
        <x:v>3300</x:v>
      </x:c>
      <x:c r="F18" s="11" t="n">
        <x:f>C18*E18</x:f>
        <x:v>369600</x:v>
      </x:c>
      <x:c r="G18" t="str">
        <x:v>Historical BOQ / prior takeoff</x:v>
      </x:c>
      <x:c r="H18" s="14" t="str">
        <x:v>Structural engineer to validate</x:v>
      </x:c>
      <x:c r="I18" t="str">
        <x:v>Included</x:v>
      </x:c>
    </x:row>
    <x:row r="19">
      <x:c r="A19" t="str">
        <x:v>01 RC structure</x:v>
      </x:c>
      <x:c r="B19" t="str">
        <x:v>Ground slab concrete</x:v>
      </x:c>
      <x:c r="C19" s="4" t="n">
        <x:v>12</x:v>
      </x:c>
      <x:c r="D19" t="str">
        <x:v>m³</x:v>
      </x:c>
      <x:c r="E19" s="10" t="n">
        <x:v>30000</x:v>
      </x:c>
      <x:c r="F19" s="11" t="n">
        <x:f>C19*E19</x:f>
        <x:v>360000</x:v>
      </x:c>
      <x:c r="G19" t="str">
        <x:v>Historical BOQ / prior takeoff</x:v>
      </x:c>
      <x:c r="H19" s="14" t="str">
        <x:v>Structural engineer to validate</x:v>
      </x:c>
      <x:c r="I19" t="str">
        <x:v>Included</x:v>
      </x:c>
    </x:row>
    <x:row r="20">
      <x:c r="A20" t="str">
        <x:v>01 RC structure</x:v>
      </x:c>
      <x:c r="B20" t="str">
        <x:v>Ground slab reinforcement</x:v>
      </x:c>
      <x:c r="C20" s="4" t="n">
        <x:v>400</x:v>
      </x:c>
      <x:c r="D20" t="str">
        <x:v>kg</x:v>
      </x:c>
      <x:c r="E20" s="10" t="n">
        <x:v>520</x:v>
      </x:c>
      <x:c r="F20" s="11" t="n">
        <x:f>C20*E20</x:f>
        <x:v>208000</x:v>
      </x:c>
      <x:c r="G20" t="str">
        <x:v>Historical BOQ / prior takeoff</x:v>
      </x:c>
      <x:c r="H20" s="14" t="str">
        <x:v>Structural engineer to validate</x:v>
      </x:c>
      <x:c r="I20" t="str">
        <x:v>Included</x:v>
      </x:c>
    </x:row>
    <x:row r="21">
      <x:c r="A21" t="str">
        <x:v>01 RC structure</x:v>
      </x:c>
      <x:c r="B21" t="str">
        <x:v>Exterior RC staircase</x:v>
      </x:c>
      <x:c r="C21" s="4" t="n">
        <x:v>1</x:v>
      </x:c>
      <x:c r="D21" t="str">
        <x:v>lot</x:v>
      </x:c>
      <x:c r="E21" s="10" t="n">
        <x:v>750000</x:v>
      </x:c>
      <x:c r="F21" s="11" t="n">
        <x:f>C21*E21</x:f>
        <x:v>750000</x:v>
      </x:c>
      <x:c r="G21" t="str">
        <x:v>Historical BOQ / prior takeoff</x:v>
      </x:c>
      <x:c r="H21" s="14" t="str">
        <x:v>Structural engineer to validate</x:v>
      </x:c>
      <x:c r="I21" t="str">
        <x:v>Included</x:v>
      </x:c>
    </x:row>
    <x:row r="22">
      <x:c r="A22" t="str">
        <x:v>02 Blockwork &amp; enclosure</x:v>
      </x:c>
      <x:c r="B22" t="str">
        <x:v>External block walls ground</x:v>
      </x:c>
      <x:c r="C22" s="4" t="n">
        <x:v>85</x:v>
      </x:c>
      <x:c r="D22" t="str">
        <x:v>m²</x:v>
      </x:c>
      <x:c r="E22" s="10" t="n">
        <x:v>5702.8</x:v>
      </x:c>
      <x:c r="F22" s="11" t="n">
        <x:f>C22*E22</x:f>
        <x:v>484738</x:v>
      </x:c>
      <x:c r="G22" t="str">
        <x:v>BOQ</x:v>
      </x:c>
      <x:c r="H22" s="14" t="str">
        <x:v>40 m² hybrid does not necessarily form sealed AC zone</x:v>
      </x:c>
      <x:c r="I22" t="str">
        <x:v>Included</x:v>
      </x:c>
    </x:row>
    <x:row r="23">
      <x:c r="A23" t="str">
        <x:v>02 Blockwork &amp; enclosure</x:v>
      </x:c>
      <x:c r="B23" t="str">
        <x:v>Room partitions ground</x:v>
      </x:c>
      <x:c r="C23" s="4" t="n">
        <x:v>45</x:v>
      </x:c>
      <x:c r="D23" t="str">
        <x:v>m²</x:v>
      </x:c>
      <x:c r="E23" s="10" t="n">
        <x:v>4519.2</x:v>
      </x:c>
      <x:c r="F23" s="11" t="n">
        <x:f>C23*E23</x:f>
        <x:v>203364</x:v>
      </x:c>
      <x:c r="G23" t="str">
        <x:v>BOQ</x:v>
      </x:c>
      <x:c r="H23" s="14" t="str">
        <x:v>40 m² hybrid does not necessarily form sealed AC zone</x:v>
      </x:c>
      <x:c r="I23" t="str">
        <x:v>Included</x:v>
      </x:c>
    </x:row>
    <x:row r="24">
      <x:c r="A24" t="str">
        <x:v>02 Blockwork &amp; enclosure</x:v>
      </x:c>
      <x:c r="B24" t="str">
        <x:v>Bathroom partitions</x:v>
      </x:c>
      <x:c r="C24" s="4" t="n">
        <x:v>35</x:v>
      </x:c>
      <x:c r="D24" t="str">
        <x:v>m²</x:v>
      </x:c>
      <x:c r="E24" s="10" t="n">
        <x:v>4519.2</x:v>
      </x:c>
      <x:c r="F24" s="11" t="n">
        <x:f>C24*E24</x:f>
        <x:v>158172</x:v>
      </x:c>
      <x:c r="G24" t="str">
        <x:v>BOQ</x:v>
      </x:c>
      <x:c r="H24" s="14" t="str">
        <x:v>40 m² hybrid does not necessarily form sealed AC zone</x:v>
      </x:c>
      <x:c r="I24" t="str">
        <x:v>Included</x:v>
      </x:c>
    </x:row>
    <x:row r="25">
      <x:c r="A25" t="str">
        <x:v>02 Blockwork &amp; enclosure</x:v>
      </x:c>
      <x:c r="B25" t="str">
        <x:v>Upper kitchen/service blocks</x:v>
      </x:c>
      <x:c r="C25" s="4" t="n">
        <x:v>20</x:v>
      </x:c>
      <x:c r="D25" t="str">
        <x:v>m²</x:v>
      </x:c>
      <x:c r="E25" s="10" t="n">
        <x:v>4519.2</x:v>
      </x:c>
      <x:c r="F25" s="11" t="n">
        <x:f>C25*E25</x:f>
        <x:v>90384</x:v>
      </x:c>
      <x:c r="G25" t="str">
        <x:v>BOQ</x:v>
      </x:c>
      <x:c r="H25" s="14" t="str">
        <x:v>40 m² hybrid does not necessarily form sealed AC zone</x:v>
      </x:c>
      <x:c r="I25" t="str">
        <x:v>Included</x:v>
      </x:c>
    </x:row>
    <x:row r="26">
      <x:c r="A26" t="str">
        <x:v>02 Blockwork &amp; enclosure</x:v>
      </x:c>
      <x:c r="B26" t="str">
        <x:v>Upper timber/aluminium hybrid enclosure</x:v>
      </x:c>
      <x:c r="C26" s="4" t="n">
        <x:v>40</x:v>
      </x:c>
      <x:c r="D26" t="str">
        <x:v>m²</x:v>
      </x:c>
      <x:c r="E26" s="10" t="n">
        <x:v>37000</x:v>
      </x:c>
      <x:c r="F26" s="11" t="n">
        <x:f>C26*E26</x:f>
        <x:v>1480000</x:v>
      </x:c>
      <x:c r="G26" t="str">
        <x:v>Provisional</x:v>
      </x:c>
      <x:c r="H26" s="14" t="str">
        <x:v>40 m² hybrid does not necessarily form sealed AC zone</x:v>
      </x:c>
      <x:c r="I26" t="str">
        <x:v>Included</x:v>
      </x:c>
    </x:row>
    <x:row r="27">
      <x:c r="A27" t="str">
        <x:v>03 Guestroom interiors</x:v>
      </x:c>
      <x:c r="B27" t="str">
        <x:v>Concrete bed block supports</x:v>
      </x:c>
      <x:c r="C27" s="4" t="n">
        <x:v>8</x:v>
      </x:c>
      <x:c r="D27" t="str">
        <x:v>m²</x:v>
      </x:c>
      <x:c r="E27" s="10" t="n">
        <x:v>4519.2</x:v>
      </x:c>
      <x:c r="F27" s="11" t="n">
        <x:f>C27*E27</x:f>
        <x:v>36153.6</x:v>
      </x:c>
      <x:c r="G27" t="str">
        <x:v>BOQ/provisional</x:v>
      </x:c>
      <x:c r="H27" s="14" t="str">
        <x:v>Review lighting overlap with electrical; mirror overlap with sanitary</x:v>
      </x:c>
      <x:c r="I27" t="str">
        <x:v>Included</x:v>
      </x:c>
    </x:row>
    <x:row r="28">
      <x:c r="A28" t="str">
        <x:v>03 Guestroom interiors</x:v>
      </x:c>
      <x:c r="B28" t="str">
        <x:v>Concrete bed tops</x:v>
      </x:c>
      <x:c r="C28" s="4" t="n">
        <x:v>1.6</x:v>
      </x:c>
      <x:c r="D28" t="str">
        <x:v>m³</x:v>
      </x:c>
      <x:c r="E28" s="10" t="n">
        <x:v>32000</x:v>
      </x:c>
      <x:c r="F28" s="11" t="n">
        <x:f>C28*E28</x:f>
        <x:v>51200</x:v>
      </x:c>
      <x:c r="G28" t="str">
        <x:v>BOQ/provisional</x:v>
      </x:c>
      <x:c r="H28" s="14" t="str">
        <x:v>Review lighting overlap with electrical; mirror overlap with sanitary</x:v>
      </x:c>
      <x:c r="I28" t="str">
        <x:v>Included</x:v>
      </x:c>
    </x:row>
    <x:row r="29">
      <x:c r="A29" t="str">
        <x:v>03 Guestroom interiors</x:v>
      </x:c>
      <x:c r="B29" t="str">
        <x:v>Concrete bed reinforcement</x:v>
      </x:c>
      <x:c r="C29" s="4" t="n">
        <x:v>160</x:v>
      </x:c>
      <x:c r="D29" t="str">
        <x:v>kg</x:v>
      </x:c>
      <x:c r="E29" s="10" t="n">
        <x:v>520</x:v>
      </x:c>
      <x:c r="F29" s="11" t="n">
        <x:f>C29*E29</x:f>
        <x:v>83200</x:v>
      </x:c>
      <x:c r="G29" t="str">
        <x:v>BOQ/provisional</x:v>
      </x:c>
      <x:c r="H29" s="14" t="str">
        <x:v>Review lighting overlap with electrical; mirror overlap with sanitary</x:v>
      </x:c>
      <x:c r="I29" t="str">
        <x:v>Included</x:v>
      </x:c>
    </x:row>
    <x:row r="30">
      <x:c r="A30" t="str">
        <x:v>03 Guestroom interiors</x:v>
      </x:c>
      <x:c r="B30" t="str">
        <x:v>Concrete bed edge formwork</x:v>
      </x:c>
      <x:c r="C30" s="4" t="n">
        <x:v>12</x:v>
      </x:c>
      <x:c r="D30" t="str">
        <x:v>m²</x:v>
      </x:c>
      <x:c r="E30" s="10" t="n">
        <x:v>3300</x:v>
      </x:c>
      <x:c r="F30" s="11" t="n">
        <x:f>C30*E30</x:f>
        <x:v>39600</x:v>
      </x:c>
      <x:c r="G30" t="str">
        <x:v>BOQ/provisional</x:v>
      </x:c>
      <x:c r="H30" s="14" t="str">
        <x:v>Review lighting overlap with electrical; mirror overlap with sanitary</x:v>
      </x:c>
      <x:c r="I30" t="str">
        <x:v>Included</x:v>
      </x:c>
    </x:row>
    <x:row r="31">
      <x:c r="A31" t="str">
        <x:v>03 Guestroom interiors</x:v>
      </x:c>
      <x:c r="B31" t="str">
        <x:v>Bed platform polished finish</x:v>
      </x:c>
      <x:c r="C31" s="4" t="n">
        <x:v>16</x:v>
      </x:c>
      <x:c r="D31" t="str">
        <x:v>m²</x:v>
      </x:c>
      <x:c r="E31" s="10" t="n">
        <x:v>4500</x:v>
      </x:c>
      <x:c r="F31" s="11" t="n">
        <x:f>C31*E31</x:f>
        <x:v>72000</x:v>
      </x:c>
      <x:c r="G31" t="str">
        <x:v>BOQ/provisional</x:v>
      </x:c>
      <x:c r="H31" s="14" t="str">
        <x:v>Review lighting overlap with electrical; mirror overlap with sanitary</x:v>
      </x:c>
      <x:c r="I31" t="str">
        <x:v>Included</x:v>
      </x:c>
    </x:row>
    <x:row r="32">
      <x:c r="A32" t="str">
        <x:v>03 Guestroom interiors</x:v>
      </x:c>
      <x:c r="B32" t="str">
        <x:v>Bed platform moisture protection</x:v>
      </x:c>
      <x:c r="C32" s="4" t="n">
        <x:v>4</x:v>
      </x:c>
      <x:c r="D32" t="str">
        <x:v>beds</x:v>
      </x:c>
      <x:c r="E32" s="10" t="n">
        <x:v>12000</x:v>
      </x:c>
      <x:c r="F32" s="11" t="n">
        <x:f>C32*E32</x:f>
        <x:v>48000</x:v>
      </x:c>
      <x:c r="G32" t="str">
        <x:v>BOQ/provisional</x:v>
      </x:c>
      <x:c r="H32" s="14" t="str">
        <x:v>Review lighting overlap with electrical; mirror overlap with sanitary</x:v>
      </x:c>
      <x:c r="I32" t="str">
        <x:v>Included</x:v>
      </x:c>
    </x:row>
    <x:row r="33">
      <x:c r="A33" t="str">
        <x:v>03 Guestroom interiors</x:v>
      </x:c>
      <x:c r="B33" t="str">
        <x:v>King mattresses</x:v>
      </x:c>
      <x:c r="C33" s="4" t="n">
        <x:v>4</x:v>
      </x:c>
      <x:c r="D33" t="str">
        <x:v>each</x:v>
      </x:c>
      <x:c r="E33" s="10" t="n">
        <x:v>65000</x:v>
      </x:c>
      <x:c r="F33" s="11" t="n">
        <x:f>C33*E33</x:f>
        <x:v>260000</x:v>
      </x:c>
      <x:c r="G33" t="str">
        <x:v>Furniture BOQ</x:v>
      </x:c>
      <x:c r="H33" s="14" t="str">
        <x:v>Review lighting overlap with electrical; mirror overlap with sanitary</x:v>
      </x:c>
      <x:c r="I33" t="str">
        <x:v>Included</x:v>
      </x:c>
    </x:row>
    <x:row r="34">
      <x:c r="A34" t="str">
        <x:v>03 Guestroom interiors</x:v>
      </x:c>
      <x:c r="B34" t="str">
        <x:v>Pillows</x:v>
      </x:c>
      <x:c r="C34" s="4" t="n">
        <x:v>8</x:v>
      </x:c>
      <x:c r="D34" t="str">
        <x:v>each</x:v>
      </x:c>
      <x:c r="E34" s="10" t="n">
        <x:v>6000</x:v>
      </x:c>
      <x:c r="F34" s="11" t="n">
        <x:f>C34*E34</x:f>
        <x:v>48000</x:v>
      </x:c>
      <x:c r="G34" t="str">
        <x:v>Furniture BOQ</x:v>
      </x:c>
      <x:c r="H34" s="14" t="str">
        <x:v>Review lighting overlap with electrical; mirror overlap with sanitary</x:v>
      </x:c>
      <x:c r="I34" t="str">
        <x:v>Included</x:v>
      </x:c>
    </x:row>
    <x:row r="35">
      <x:c r="A35" t="str">
        <x:v>03 Guestroom interiors</x:v>
      </x:c>
      <x:c r="B35" t="str">
        <x:v>Bedside lighting &amp; accessories</x:v>
      </x:c>
      <x:c r="C35" s="4" t="n">
        <x:v>1</x:v>
      </x:c>
      <x:c r="D35" t="str">
        <x:v>lot</x:v>
      </x:c>
      <x:c r="E35" s="10" t="n">
        <x:v>100000</x:v>
      </x:c>
      <x:c r="F35" s="11" t="n">
        <x:f>C35*E35</x:f>
        <x:v>100000</x:v>
      </x:c>
      <x:c r="G35" t="str">
        <x:v>BOQ/provisional</x:v>
      </x:c>
      <x:c r="H35" s="14" t="str">
        <x:v>Review lighting overlap with electrical; mirror overlap with sanitary</x:v>
      </x:c>
      <x:c r="I35" t="str">
        <x:v>Included</x:v>
      </x:c>
    </x:row>
    <x:row r="36">
      <x:c r="A36" t="str">
        <x:v>03 Guestroom interiors</x:v>
      </x:c>
      <x:c r="B36" t="str">
        <x:v>Curtains/privacy</x:v>
      </x:c>
      <x:c r="C36" s="4" t="n">
        <x:v>1</x:v>
      </x:c>
      <x:c r="D36" t="str">
        <x:v>lot</x:v>
      </x:c>
      <x:c r="E36" s="10" t="n">
        <x:v>160000</x:v>
      </x:c>
      <x:c r="F36" s="11" t="n">
        <x:f>C36*E36</x:f>
        <x:v>160000</x:v>
      </x:c>
      <x:c r="G36" t="str">
        <x:v>BOQ/provisional</x:v>
      </x:c>
      <x:c r="H36" s="14" t="str">
        <x:v>Review lighting overlap with electrical; mirror overlap with sanitary</x:v>
      </x:c>
      <x:c r="I36" t="str">
        <x:v>Included</x:v>
      </x:c>
    </x:row>
    <x:row r="37">
      <x:c r="A37" t="str">
        <x:v>03 Guestroom interiors</x:v>
      </x:c>
      <x:c r="B37" t="str">
        <x:v>Linen &amp; towels</x:v>
      </x:c>
      <x:c r="C37" s="4" t="n">
        <x:v>1</x:v>
      </x:c>
      <x:c r="D37" t="str">
        <x:v>lot</x:v>
      </x:c>
      <x:c r="E37" s="10" t="n">
        <x:v>200000</x:v>
      </x:c>
      <x:c r="F37" s="11" t="n">
        <x:f>C37*E37</x:f>
        <x:v>200000</x:v>
      </x:c>
      <x:c r="G37" t="str">
        <x:v>BOQ/provisional</x:v>
      </x:c>
      <x:c r="H37" s="14" t="str">
        <x:v>Review lighting overlap with electrical; mirror overlap with sanitary</x:v>
      </x:c>
      <x:c r="I37" t="str">
        <x:v>Included</x:v>
      </x:c>
    </x:row>
    <x:row r="38">
      <x:c r="A38" t="str">
        <x:v>03 Guestroom interiors</x:v>
      </x:c>
      <x:c r="B38" t="str">
        <x:v>Mirrors &amp; accessories</x:v>
      </x:c>
      <x:c r="C38" s="4" t="n">
        <x:v>1</x:v>
      </x:c>
      <x:c r="D38" t="str">
        <x:v>lot</x:v>
      </x:c>
      <x:c r="E38" s="10" t="n">
        <x:v>80000</x:v>
      </x:c>
      <x:c r="F38" s="11" t="n">
        <x:f>C38*E38</x:f>
        <x:v>80000</x:v>
      </x:c>
      <x:c r="G38" t="str">
        <x:v>BOQ/provisional</x:v>
      </x:c>
      <x:c r="H38" s="14" t="str">
        <x:v>Review lighting overlap with electrical; mirror overlap with sanitary</x:v>
      </x:c>
      <x:c r="I38" t="str">
        <x:v>Included</x:v>
      </x:c>
    </x:row>
    <x:row r="39">
      <x:c r="A39" t="str">
        <x:v>03 Guestroom interiors</x:v>
      </x:c>
      <x:c r="B39" t="str">
        <x:v>Concrete desk/wardrobe finishes</x:v>
      </x:c>
      <x:c r="C39" s="4" t="n">
        <x:v>1</x:v>
      </x:c>
      <x:c r="D39" t="str">
        <x:v>lot</x:v>
      </x:c>
      <x:c r="E39" s="10" t="n">
        <x:v>320000</x:v>
      </x:c>
      <x:c r="F39" s="11" t="n">
        <x:f>C39*E39</x:f>
        <x:v>320000</x:v>
      </x:c>
      <x:c r="G39" t="str">
        <x:v>BOQ/provisional</x:v>
      </x:c>
      <x:c r="H39" s="14" t="str">
        <x:v>Review lighting overlap with electrical; mirror overlap with sanitary</x:v>
      </x:c>
      <x:c r="I39" t="str">
        <x:v>Included</x:v>
      </x:c>
    </x:row>
    <x:row r="40">
      <x:c r="A40" t="str">
        <x:v>04 Upper lounge &amp; kitchen interiors</x:v>
      </x:c>
      <x:c r="B40" t="str">
        <x:v>Coworking tables</x:v>
      </x:c>
      <x:c r="C40" s="4" t="n">
        <x:v>1</x:v>
      </x:c>
      <x:c r="D40" t="str">
        <x:v>lot</x:v>
      </x:c>
      <x:c r="E40" s="10" t="n">
        <x:v>180000</x:v>
      </x:c>
      <x:c r="F40" s="11" t="n">
        <x:f>C40*E40</x:f>
        <x:v>180000</x:v>
      </x:c>
      <x:c r="G40" t="str">
        <x:v>Provisional</x:v>
      </x:c>
      <x:c r="H40" s="14" t="str">
        <x:v>Kitchen sink and tap not separately confirmed; lighting may overlap</x:v>
      </x:c>
      <x:c r="I40" t="str">
        <x:v>Included</x:v>
      </x:c>
    </x:row>
    <x:row r="41">
      <x:c r="A41" t="str">
        <x:v>04 Upper lounge &amp; kitchen interiors</x:v>
      </x:c>
      <x:c r="B41" t="str">
        <x:v>Eight coworking chairs</x:v>
      </x:c>
      <x:c r="C41" s="4" t="n">
        <x:v>8</x:v>
      </x:c>
      <x:c r="D41" t="str">
        <x:v>each</x:v>
      </x:c>
      <x:c r="E41" s="10" t="n">
        <x:v>25000</x:v>
      </x:c>
      <x:c r="F41" s="11" t="n">
        <x:f>C41*E41</x:f>
        <x:v>200000</x:v>
      </x:c>
      <x:c r="G41" t="str">
        <x:v>Provisional</x:v>
      </x:c>
      <x:c r="H41" s="14" t="str">
        <x:v>Kitchen sink and tap not separately confirmed; lighting may overlap</x:v>
      </x:c>
      <x:c r="I41" t="str">
        <x:v>Included</x:v>
      </x:c>
    </x:row>
    <x:row r="42">
      <x:c r="A42" t="str">
        <x:v>04 Upper lounge &amp; kitchen interiors</x:v>
      </x:c>
      <x:c r="B42" t="str">
        <x:v>Lounge seating</x:v>
      </x:c>
      <x:c r="C42" s="4" t="n">
        <x:v>1</x:v>
      </x:c>
      <x:c r="D42" t="str">
        <x:v>lot</x:v>
      </x:c>
      <x:c r="E42" s="10" t="n">
        <x:v>250000</x:v>
      </x:c>
      <x:c r="F42" s="11" t="n">
        <x:f>C42*E42</x:f>
        <x:v>250000</x:v>
      </x:c>
      <x:c r="G42" t="str">
        <x:v>Provisional</x:v>
      </x:c>
      <x:c r="H42" s="14" t="str">
        <x:v>Kitchen sink and tap not separately confirmed; lighting may overlap</x:v>
      </x:c>
      <x:c r="I42" t="str">
        <x:v>Included</x:v>
      </x:c>
    </x:row>
    <x:row r="43">
      <x:c r="A43" t="str">
        <x:v>04 Upper lounge &amp; kitchen interiors</x:v>
      </x:c>
      <x:c r="B43" t="str">
        <x:v>Kitchen cabinets/worktop</x:v>
      </x:c>
      <x:c r="C43" s="4" t="n">
        <x:v>1</x:v>
      </x:c>
      <x:c r="D43" t="str">
        <x:v>lot</x:v>
      </x:c>
      <x:c r="E43" s="10" t="n">
        <x:v>350000</x:v>
      </x:c>
      <x:c r="F43" s="11" t="n">
        <x:f>C43*E43</x:f>
        <x:v>350000</x:v>
      </x:c>
      <x:c r="G43" t="str">
        <x:v>Provisional</x:v>
      </x:c>
      <x:c r="H43" s="14" t="str">
        <x:v>Kitchen sink and tap not separately confirmed; lighting may overlap</x:v>
      </x:c>
      <x:c r="I43" t="str">
        <x:v>Included</x:v>
      </x:c>
    </x:row>
    <x:row r="44">
      <x:c r="A44" t="str">
        <x:v>04 Upper lounge &amp; kitchen interiors</x:v>
      </x:c>
      <x:c r="B44" t="str">
        <x:v>Kitchen appliances</x:v>
      </x:c>
      <x:c r="C44" s="4" t="n">
        <x:v>1</x:v>
      </x:c>
      <x:c r="D44" t="str">
        <x:v>lot</x:v>
      </x:c>
      <x:c r="E44" s="10" t="n">
        <x:v>300000</x:v>
      </x:c>
      <x:c r="F44" s="11" t="n">
        <x:f>C44*E44</x:f>
        <x:v>300000</x:v>
      </x:c>
      <x:c r="G44" t="str">
        <x:v>Provisional</x:v>
      </x:c>
      <x:c r="H44" s="14" t="str">
        <x:v>Kitchen sink and tap not separately confirmed; lighting may overlap</x:v>
      </x:c>
      <x:c r="I44" t="str">
        <x:v>Included</x:v>
      </x:c>
    </x:row>
    <x:row r="45">
      <x:c r="A45" t="str">
        <x:v>04 Upper lounge &amp; kitchen interiors</x:v>
      </x:c>
      <x:c r="B45" t="str">
        <x:v>Shelves/lighting/accessories</x:v>
      </x:c>
      <x:c r="C45" s="4" t="n">
        <x:v>1</x:v>
      </x:c>
      <x:c r="D45" t="str">
        <x:v>lot</x:v>
      </x:c>
      <x:c r="E45" s="10" t="n">
        <x:v>120000</x:v>
      </x:c>
      <x:c r="F45" s="11" t="n">
        <x:f>C45*E45</x:f>
        <x:v>120000</x:v>
      </x:c>
      <x:c r="G45" t="str">
        <x:v>Provisional</x:v>
      </x:c>
      <x:c r="H45" s="14" t="str">
        <x:v>Kitchen sink and tap not separately confirmed; lighting may overlap</x:v>
      </x:c>
      <x:c r="I45" t="str">
        <x:v>Included</x:v>
      </x:c>
    </x:row>
    <x:row r="46">
      <x:c r="A46" t="str">
        <x:v>05 Bathroom fixtures</x:v>
      </x:c>
      <x:c r="B46" t="str">
        <x:v>WC and cistern</x:v>
      </x:c>
      <x:c r="C46" s="4" t="n">
        <x:v>4</x:v>
      </x:c>
      <x:c r="D46" t="str">
        <x:v>each</x:v>
      </x:c>
      <x:c r="E46" s="10" t="n">
        <x:v>60000</x:v>
      </x:c>
      <x:c r="F46" s="11" t="n">
        <x:f>C46*E46</x:f>
        <x:v>240000</x:v>
      </x:c>
      <x:c r="G46" t="str">
        <x:v>BOQ/provisional</x:v>
      </x:c>
      <x:c r="H46" s="14" t="str">
        <x:v>Mirror overlap with interiors to reconcile</x:v>
      </x:c>
      <x:c r="I46" t="str">
        <x:v>Included</x:v>
      </x:c>
    </x:row>
    <x:row r="47">
      <x:c r="A47" t="str">
        <x:v>05 Bathroom fixtures</x:v>
      </x:c>
      <x:c r="B47" t="str">
        <x:v>Washbasin/tap</x:v>
      </x:c>
      <x:c r="C47" s="4" t="n">
        <x:v>4</x:v>
      </x:c>
      <x:c r="D47" t="str">
        <x:v>each</x:v>
      </x:c>
      <x:c r="E47" s="10" t="n">
        <x:v>60000</x:v>
      </x:c>
      <x:c r="F47" s="11" t="n">
        <x:f>C47*E47</x:f>
        <x:v>240000</x:v>
      </x:c>
      <x:c r="G47" t="str">
        <x:v>BOQ/provisional</x:v>
      </x:c>
      <x:c r="H47" s="14" t="str">
        <x:v>Mirror overlap with interiors to reconcile</x:v>
      </x:c>
      <x:c r="I47" t="str">
        <x:v>Included</x:v>
      </x:c>
    </x:row>
    <x:row r="48">
      <x:c r="A48" t="str">
        <x:v>05 Bathroom fixtures</x:v>
      </x:c>
      <x:c r="B48" t="str">
        <x:v>Shower mixer/head/fittings</x:v>
      </x:c>
      <x:c r="C48" s="4" t="n">
        <x:v>4</x:v>
      </x:c>
      <x:c r="D48" t="str">
        <x:v>each</x:v>
      </x:c>
      <x:c r="E48" s="10" t="n">
        <x:v>55000</x:v>
      </x:c>
      <x:c r="F48" s="11" t="n">
        <x:f>C48*E48</x:f>
        <x:v>220000</x:v>
      </x:c>
      <x:c r="G48" t="str">
        <x:v>BOQ/provisional</x:v>
      </x:c>
      <x:c r="H48" s="14" t="str">
        <x:v>Mirror overlap with interiors to reconcile</x:v>
      </x:c>
      <x:c r="I48" t="str">
        <x:v>Included</x:v>
      </x:c>
    </x:row>
    <x:row r="49">
      <x:c r="A49" t="str">
        <x:v>05 Bathroom fixtures</x:v>
      </x:c>
      <x:c r="B49" t="str">
        <x:v>Bathroom mirrors</x:v>
      </x:c>
      <x:c r="C49" s="4" t="n">
        <x:v>4</x:v>
      </x:c>
      <x:c r="D49" t="str">
        <x:v>each</x:v>
      </x:c>
      <x:c r="E49" s="10" t="n">
        <x:v>10000</x:v>
      </x:c>
      <x:c r="F49" s="11" t="n">
        <x:f>C49*E49</x:f>
        <x:v>40000</x:v>
      </x:c>
      <x:c r="G49" t="str">
        <x:v>BOQ/provisional</x:v>
      </x:c>
      <x:c r="H49" s="14" t="str">
        <x:v>Mirror overlap with interiors to reconcile</x:v>
      </x:c>
      <x:c r="I49" t="str">
        <x:v>Included</x:v>
      </x:c>
    </x:row>
    <x:row r="50">
      <x:c r="A50" t="str">
        <x:v>05 Bathroom fixtures</x:v>
      </x:c>
      <x:c r="B50" t="str">
        <x:v>Bathroom accessories</x:v>
      </x:c>
      <x:c r="C50" s="4" t="n">
        <x:v>4</x:v>
      </x:c>
      <x:c r="D50" t="str">
        <x:v>sets</x:v>
      </x:c>
      <x:c r="E50" s="10" t="n">
        <x:v>30000</x:v>
      </x:c>
      <x:c r="F50" s="11" t="n">
        <x:f>C50*E50</x:f>
        <x:v>120000</x:v>
      </x:c>
      <x:c r="G50" t="str">
        <x:v>BOQ/provisional</x:v>
      </x:c>
      <x:c r="H50" s="14" t="str">
        <x:v>Mirror overlap with interiors to reconcile</x:v>
      </x:c>
      <x:c r="I50" t="str">
        <x:v>Included</x:v>
      </x:c>
    </x:row>
    <x:row r="51">
      <x:c r="A51" t="str">
        <x:v>05 Bathroom fixtures</x:v>
      </x:c>
      <x:c r="B51" t="str">
        <x:v>Floor drains and traps</x:v>
      </x:c>
      <x:c r="C51" s="4" t="n">
        <x:v>4</x:v>
      </x:c>
      <x:c r="D51" t="str">
        <x:v>sets</x:v>
      </x:c>
      <x:c r="E51" s="10" t="n">
        <x:v>12000</x:v>
      </x:c>
      <x:c r="F51" s="11" t="n">
        <x:f>C51*E51</x:f>
        <x:v>48000</x:v>
      </x:c>
      <x:c r="G51" t="str">
        <x:v>BOQ/provisional</x:v>
      </x:c>
      <x:c r="H51" s="14" t="str">
        <x:v>Mirror overlap with interiors to reconcile</x:v>
      </x:c>
      <x:c r="I51" t="str">
        <x:v>Included</x:v>
      </x:c>
    </x:row>
    <x:row r="52">
      <x:c r="A52" t="str">
        <x:v>06 Guestroom split AC</x:v>
      </x:c>
      <x:c r="B52" t="str">
        <x:v>Inverter split AC units</x:v>
      </x:c>
      <x:c r="C52" s="4" t="n">
        <x:v>4</x:v>
      </x:c>
      <x:c r="D52" t="str">
        <x:v>each</x:v>
      </x:c>
      <x:c r="E52" s="10" t="n">
        <x:v>190000</x:v>
      </x:c>
      <x:c r="F52" s="11" t="n">
        <x:f>C52*E52</x:f>
        <x:v>760000</x:v>
      </x:c>
      <x:c r="G52" t="str">
        <x:v>Provisional</x:v>
      </x:c>
      <x:c r="H52" s="14" t="str">
        <x:v>12k BTU concept; HVAC engineer to size</x:v>
      </x:c>
      <x:c r="I52" t="str">
        <x:v>Included</x:v>
      </x:c>
    </x:row>
    <x:row r="53">
      <x:c r="A53" t="str">
        <x:v>06 Guestroom split AC</x:v>
      </x:c>
      <x:c r="B53" t="str">
        <x:v>Copper pipe/insulation/drain</x:v>
      </x:c>
      <x:c r="C53" s="4" t="n">
        <x:v>4</x:v>
      </x:c>
      <x:c r="D53" t="str">
        <x:v>sets</x:v>
      </x:c>
      <x:c r="E53" s="10" t="n">
        <x:v>35000</x:v>
      </x:c>
      <x:c r="F53" s="11" t="n">
        <x:f>C53*E53</x:f>
        <x:v>140000</x:v>
      </x:c>
      <x:c r="G53" t="str">
        <x:v>Provisional</x:v>
      </x:c>
      <x:c r="H53" s="14" t="str">
        <x:v>12k BTU concept; HVAC engineer to size</x:v>
      </x:c>
      <x:c r="I53" t="str">
        <x:v>Included</x:v>
      </x:c>
    </x:row>
    <x:row r="54">
      <x:c r="A54" t="str">
        <x:v>06 Guestroom split AC</x:v>
      </x:c>
      <x:c r="B54" t="str">
        <x:v>Installation/commissioning</x:v>
      </x:c>
      <x:c r="C54" s="4" t="n">
        <x:v>4</x:v>
      </x:c>
      <x:c r="D54" t="str">
        <x:v>sets</x:v>
      </x:c>
      <x:c r="E54" s="10" t="n">
        <x:v>30000</x:v>
      </x:c>
      <x:c r="F54" s="11" t="n">
        <x:f>C54*E54</x:f>
        <x:v>120000</x:v>
      </x:c>
      <x:c r="G54" t="str">
        <x:v>Provisional</x:v>
      </x:c>
      <x:c r="H54" s="14" t="str">
        <x:v>12k BTU concept; HVAC engineer to size</x:v>
      </x:c>
      <x:c r="I54" t="str">
        <x:v>Included</x:v>
      </x:c>
    </x:row>
    <x:row r="55">
      <x:c r="A55" t="str">
        <x:v>06 Guestroom split AC</x:v>
      </x:c>
      <x:c r="B55" t="str">
        <x:v>Dedicated electrical circuits</x:v>
      </x:c>
      <x:c r="C55" s="4" t="n">
        <x:v>4</x:v>
      </x:c>
      <x:c r="D55" t="str">
        <x:v>sets</x:v>
      </x:c>
      <x:c r="E55" s="10" t="n">
        <x:v>20000</x:v>
      </x:c>
      <x:c r="F55" s="11" t="n">
        <x:f>C55*E55</x:f>
        <x:v>80000</x:v>
      </x:c>
      <x:c r="G55" t="str">
        <x:v>Provisional</x:v>
      </x:c>
      <x:c r="H55" s="14" t="str">
        <x:v>12k BTU concept; HVAC engineer to size</x:v>
      </x:c>
      <x:c r="I55" t="str">
        <x:v>Included</x:v>
      </x:c>
    </x:row>
    <x:row r="56">
      <x:c r="A56" t="str">
        <x:v>07 Hot water</x:v>
      </x:c>
      <x:c r="B56" t="str">
        <x:v>50 L electric heater equipment</x:v>
      </x:c>
      <x:c r="C56" s="4" t="n">
        <x:v>4</x:v>
      </x:c>
      <x:c r="D56" t="str">
        <x:v>each</x:v>
      </x:c>
      <x:c r="E56" s="10" t="n">
        <x:v>70000</x:v>
      </x:c>
      <x:c r="F56" s="11" t="n">
        <x:f>C56*E56</x:f>
        <x:v>280000</x:v>
      </x:c>
      <x:c r="G56" t="str">
        <x:v>Provisional</x:v>
      </x:c>
      <x:c r="H56" s="14" t="str">
        <x:v>Verify shower recovery and electrical load</x:v>
      </x:c>
      <x:c r="I56" t="str">
        <x:v>Included</x:v>
      </x:c>
    </x:row>
    <x:row r="57">
      <x:c r="A57" t="str">
        <x:v>07 Hot water</x:v>
      </x:c>
      <x:c r="B57" t="str">
        <x:v>Pipework/valves/insulation</x:v>
      </x:c>
      <x:c r="C57" s="4" t="n">
        <x:v>4</x:v>
      </x:c>
      <x:c r="D57" t="str">
        <x:v>sets</x:v>
      </x:c>
      <x:c r="E57" s="10" t="n">
        <x:v>20000</x:v>
      </x:c>
      <x:c r="F57" s="11" t="n">
        <x:f>C57*E57</x:f>
        <x:v>80000</x:v>
      </x:c>
      <x:c r="G57" t="str">
        <x:v>Provisional</x:v>
      </x:c>
      <x:c r="H57" s="14" t="str">
        <x:v>Verify shower recovery and electrical load</x:v>
      </x:c>
      <x:c r="I57" t="str">
        <x:v>Included</x:v>
      </x:c>
    </x:row>
    <x:row r="58">
      <x:c r="A58" t="str">
        <x:v>07 Hot water</x:v>
      </x:c>
      <x:c r="B58" t="str">
        <x:v>Electrical installation</x:v>
      </x:c>
      <x:c r="C58" s="4" t="n">
        <x:v>4</x:v>
      </x:c>
      <x:c r="D58" t="str">
        <x:v>sets</x:v>
      </x:c>
      <x:c r="E58" s="10" t="n">
        <x:v>20000</x:v>
      </x:c>
      <x:c r="F58" s="11" t="n">
        <x:f>C58*E58</x:f>
        <x:v>80000</x:v>
      </x:c>
      <x:c r="G58" t="str">
        <x:v>Provisional</x:v>
      </x:c>
      <x:c r="H58" s="14" t="str">
        <x:v>Verify shower recovery and electrical load</x:v>
      </x:c>
      <x:c r="I58" t="str">
        <x:v>Included</x:v>
      </x:c>
    </x:row>
    <x:row r="59">
      <x:c r="A59" t="str">
        <x:v>07 Hot water</x:v>
      </x:c>
      <x:c r="B59" t="str">
        <x:v>Installation/commissioning</x:v>
      </x:c>
      <x:c r="C59" s="4" t="n">
        <x:v>4</x:v>
      </x:c>
      <x:c r="D59" t="str">
        <x:v>sets</x:v>
      </x:c>
      <x:c r="E59" s="10" t="n">
        <x:v>10000</x:v>
      </x:c>
      <x:c r="F59" s="11" t="n">
        <x:f>C59*E59</x:f>
        <x:v>40000</x:v>
      </x:c>
      <x:c r="G59" t="str">
        <x:v>Provisional</x:v>
      </x:c>
      <x:c r="H59" s="14" t="str">
        <x:v>Verify shower recovery and electrical load</x:v>
      </x:c>
      <x:c r="I59" t="str">
        <x:v>Included</x:v>
      </x:c>
    </x:row>
    <x:row r="60">
      <x:c r="A60" t="str">
        <x:v>08 Water pressure &amp; storage</x:v>
      </x:c>
      <x:c r="B60" t="str">
        <x:v>Water storage tank</x:v>
      </x:c>
      <x:c r="C60" s="4" t="n">
        <x:v>1</x:v>
      </x:c>
      <x:c r="D60" t="str">
        <x:v>lot</x:v>
      </x:c>
      <x:c r="E60" s="10" t="n">
        <x:v>160000</x:v>
      </x:c>
      <x:c r="F60" s="11" t="n">
        <x:f>C60*E60</x:f>
        <x:v>160000</x:v>
      </x:c>
      <x:c r="G60" t="str">
        <x:v>Provisional</x:v>
      </x:c>
      <x:c r="H60" s="14" t="str">
        <x:v>Distribution overlap with later plumbing requires check</x:v>
      </x:c>
      <x:c r="I60" t="str">
        <x:v>Included</x:v>
      </x:c>
    </x:row>
    <x:row r="61">
      <x:c r="A61" t="str">
        <x:v>08 Water pressure &amp; storage</x:v>
      </x:c>
      <x:c r="B61" t="str">
        <x:v>Variable-speed booster</x:v>
      </x:c>
      <x:c r="C61" s="4" t="n">
        <x:v>1</x:v>
      </x:c>
      <x:c r="D61" t="str">
        <x:v>lot</x:v>
      </x:c>
      <x:c r="E61" s="10" t="n">
        <x:v>220000</x:v>
      </x:c>
      <x:c r="F61" s="11" t="n">
        <x:f>C61*E61</x:f>
        <x:v>220000</x:v>
      </x:c>
      <x:c r="G61" t="str">
        <x:v>Provisional</x:v>
      </x:c>
      <x:c r="H61" s="14" t="str">
        <x:v>Distribution overlap with later plumbing requires check</x:v>
      </x:c>
      <x:c r="I61" t="str">
        <x:v>Included</x:v>
      </x:c>
    </x:row>
    <x:row r="62">
      <x:c r="A62" t="str">
        <x:v>08 Water pressure &amp; storage</x:v>
      </x:c>
      <x:c r="B62" t="str">
        <x:v>Pressure vessel/valves</x:v>
      </x:c>
      <x:c r="C62" s="4" t="n">
        <x:v>1</x:v>
      </x:c>
      <x:c r="D62" t="str">
        <x:v>lot</x:v>
      </x:c>
      <x:c r="E62" s="10" t="n">
        <x:v>90000</x:v>
      </x:c>
      <x:c r="F62" s="11" t="n">
        <x:f>C62*E62</x:f>
        <x:v>90000</x:v>
      </x:c>
      <x:c r="G62" t="str">
        <x:v>Provisional</x:v>
      </x:c>
      <x:c r="H62" s="14" t="str">
        <x:v>Distribution overlap with later plumbing requires check</x:v>
      </x:c>
      <x:c r="I62" t="str">
        <x:v>Included</x:v>
      </x:c>
    </x:row>
    <x:row r="63">
      <x:c r="A63" t="str">
        <x:v>08 Water pressure &amp; storage</x:v>
      </x:c>
      <x:c r="B63" t="str">
        <x:v>Distribution pipework</x:v>
      </x:c>
      <x:c r="C63" s="4" t="n">
        <x:v>1</x:v>
      </x:c>
      <x:c r="D63" t="str">
        <x:v>lot</x:v>
      </x:c>
      <x:c r="E63" s="10" t="n">
        <x:v>180000</x:v>
      </x:c>
      <x:c r="F63" s="11" t="n">
        <x:f>C63*E63</x:f>
        <x:v>180000</x:v>
      </x:c>
      <x:c r="G63" t="str">
        <x:v>Provisional</x:v>
      </x:c>
      <x:c r="H63" s="14" t="str">
        <x:v>Distribution overlap with later plumbing requires check</x:v>
      </x:c>
      <x:c r="I63" t="str">
        <x:v>Included</x:v>
      </x:c>
    </x:row>
    <x:row r="64">
      <x:c r="A64" t="str">
        <x:v>08 Water pressure &amp; storage</x:v>
      </x:c>
      <x:c r="B64" t="str">
        <x:v>Testing/commissioning</x:v>
      </x:c>
      <x:c r="C64" s="4" t="n">
        <x:v>1</x:v>
      </x:c>
      <x:c r="D64" t="str">
        <x:v>lot</x:v>
      </x:c>
      <x:c r="E64" s="10" t="n">
        <x:v>100000</x:v>
      </x:c>
      <x:c r="F64" s="11" t="n">
        <x:f>C64*E64</x:f>
        <x:v>100000</x:v>
      </x:c>
      <x:c r="G64" t="str">
        <x:v>Provisional</x:v>
      </x:c>
      <x:c r="H64" s="14" t="str">
        <x:v>Distribution overlap with later plumbing requires check</x:v>
      </x:c>
      <x:c r="I64" t="str">
        <x:v>Included</x:v>
      </x:c>
    </x:row>
    <x:row r="65">
      <x:c r="A65" t="str">
        <x:v>09 Roof &amp; terrace waterproofing</x:v>
      </x:c>
      <x:c r="B65" t="str">
        <x:v>Clay tile treated timber roof</x:v>
      </x:c>
      <x:c r="C65" s="4" t="n">
        <x:v>175</x:v>
      </x:c>
      <x:c r="D65" t="str">
        <x:v>m²</x:v>
      </x:c>
      <x:c r="E65" s="10" t="n">
        <x:v>22000</x:v>
      </x:c>
      <x:c r="F65" s="11" t="n">
        <x:f>C65*E65</x:f>
        <x:v>3850000</x:v>
      </x:c>
      <x:c r="G65" t="str">
        <x:v>BOQ</x:v>
      </x:c>
      <x:c r="H65" s="14" t="str">
        <x:v>Full 112 m² waterproofing; replaces prior 20 m² allowance</x:v>
      </x:c>
      <x:c r="I65" t="str">
        <x:v>Included</x:v>
      </x:c>
    </x:row>
    <x:row r="66">
      <x:c r="A66" t="str">
        <x:v>09 Roof &amp; terrace waterproofing</x:v>
      </x:c>
      <x:c r="B66" t="str">
        <x:v>Reflective foil/underlay</x:v>
      </x:c>
      <x:c r="C66" s="4" t="n">
        <x:v>175</x:v>
      </x:c>
      <x:c r="D66" t="str">
        <x:v>m²</x:v>
      </x:c>
      <x:c r="E66" s="10" t="n">
        <x:v>1500</x:v>
      </x:c>
      <x:c r="F66" s="11" t="n">
        <x:f>C66*E66</x:f>
        <x:v>262500</x:v>
      </x:c>
      <x:c r="G66" t="str">
        <x:v>Provisional</x:v>
      </x:c>
      <x:c r="H66" s="14" t="str">
        <x:v>Full 112 m² waterproofing; replaces prior 20 m² allowance</x:v>
      </x:c>
      <x:c r="I66" t="str">
        <x:v>Included</x:v>
      </x:c>
    </x:row>
    <x:row r="67">
      <x:c r="A67" t="str">
        <x:v>09 Roof &amp; terrace waterproofing</x:v>
      </x:c>
      <x:c r="B67" t="str">
        <x:v>Roof insulation</x:v>
      </x:c>
      <x:c r="C67" s="4" t="n">
        <x:v>175</x:v>
      </x:c>
      <x:c r="D67" t="str">
        <x:v>m²</x:v>
      </x:c>
      <x:c r="E67" s="10" t="n">
        <x:v>2500</x:v>
      </x:c>
      <x:c r="F67" s="11" t="n">
        <x:f>C67*E67</x:f>
        <x:v>437500</x:v>
      </x:c>
      <x:c r="G67" t="str">
        <x:v>Provisional</x:v>
      </x:c>
      <x:c r="H67" s="14" t="str">
        <x:v>Full 112 m² waterproofing; replaces prior 20 m² allowance</x:v>
      </x:c>
      <x:c r="I67" t="str">
        <x:v>Included</x:v>
      </x:c>
    </x:row>
    <x:row r="68">
      <x:c r="A68" t="str">
        <x:v>09 Roof &amp; terrace waterproofing</x:v>
      </x:c>
      <x:c r="B68" t="str">
        <x:v>Gutters</x:v>
      </x:c>
      <x:c r="C68" s="4" t="n">
        <x:v>34.4</x:v>
      </x:c>
      <x:c r="D68" t="str">
        <x:v>m</x:v>
      </x:c>
      <x:c r="E68" s="10" t="n">
        <x:v>4500</x:v>
      </x:c>
      <x:c r="F68" s="11" t="n">
        <x:f>C68*E68</x:f>
        <x:v>154800</x:v>
      </x:c>
      <x:c r="G68" t="str">
        <x:v>Provisional</x:v>
      </x:c>
      <x:c r="H68" s="14" t="str">
        <x:v>Full 112 m² waterproofing; replaces prior 20 m² allowance</x:v>
      </x:c>
      <x:c r="I68" t="str">
        <x:v>Included</x:v>
      </x:c>
    </x:row>
    <x:row r="69">
      <x:c r="A69" t="str">
        <x:v>09 Roof &amp; terrace waterproofing</x:v>
      </x:c>
      <x:c r="B69" t="str">
        <x:v>Downpipes/fittings</x:v>
      </x:c>
      <x:c r="C69" s="4" t="n">
        <x:v>4</x:v>
      </x:c>
      <x:c r="D69" t="str">
        <x:v>sets</x:v>
      </x:c>
      <x:c r="E69" s="10" t="n">
        <x:v>22000</x:v>
      </x:c>
      <x:c r="F69" s="11" t="n">
        <x:f>C69*E69</x:f>
        <x:v>88000</x:v>
      </x:c>
      <x:c r="G69" t="str">
        <x:v>Provisional</x:v>
      </x:c>
      <x:c r="H69" s="14" t="str">
        <x:v>Full 112 m² waterproofing; replaces prior 20 m² allowance</x:v>
      </x:c>
      <x:c r="I69" t="str">
        <x:v>Included</x:v>
      </x:c>
    </x:row>
    <x:row r="70">
      <x:c r="A70" t="str">
        <x:v>09 Roof &amp; terrace waterproofing</x:v>
      </x:c>
      <x:c r="B70" t="str">
        <x:v>Flashings/sealants</x:v>
      </x:c>
      <x:c r="C70" s="4" t="n">
        <x:v>1</x:v>
      </x:c>
      <x:c r="D70" t="str">
        <x:v>lot</x:v>
      </x:c>
      <x:c r="E70" s="10" t="n">
        <x:v>120000</x:v>
      </x:c>
      <x:c r="F70" s="11" t="n">
        <x:f>C70*E70</x:f>
        <x:v>120000</x:v>
      </x:c>
      <x:c r="G70" t="str">
        <x:v>Provisional</x:v>
      </x:c>
      <x:c r="H70" s="14" t="str">
        <x:v>Full 112 m² waterproofing; replaces prior 20 m² allowance</x:v>
      </x:c>
      <x:c r="I70" t="str">
        <x:v>Included</x:v>
      </x:c>
    </x:row>
    <x:row r="71">
      <x:c r="A71" t="str">
        <x:v>09 Roof &amp; terrace waterproofing</x:v>
      </x:c>
      <x:c r="B71" t="str">
        <x:v>First-floor full slab waterproofing</x:v>
      </x:c>
      <x:c r="C71" s="4" t="n">
        <x:v>112</x:v>
      </x:c>
      <x:c r="D71" t="str">
        <x:v>m²</x:v>
      </x:c>
      <x:c r="E71" s="10" t="n">
        <x:v>5500</x:v>
      </x:c>
      <x:c r="F71" s="11" t="n">
        <x:f>C71*E71</x:f>
        <x:v>616000</x:v>
      </x:c>
      <x:c r="G71" t="str">
        <x:v>BOQ</x:v>
      </x:c>
      <x:c r="H71" s="14" t="str">
        <x:v>Full 112 m² waterproofing; replaces prior 20 m² allowance</x:v>
      </x:c>
      <x:c r="I71" t="str">
        <x:v>Included</x:v>
      </x:c>
    </x:row>
    <x:row r="72">
      <x:c r="A72" t="str">
        <x:v>10 Flooring plaster paint</x:v>
      </x:c>
      <x:c r="B72" t="str">
        <x:v>Ground dry floor tiles</x:v>
      </x:c>
      <x:c r="C72" s="4" t="n">
        <x:v>92</x:v>
      </x:c>
      <x:c r="D72" t="str">
        <x:v>m²</x:v>
      </x:c>
      <x:c r="E72" s="10" t="n">
        <x:v>9468.8</x:v>
      </x:c>
      <x:c r="F72" s="11" t="n">
        <x:f>C72*E72</x:f>
        <x:v>871129.6</x:v>
      </x:c>
      <x:c r="G72" t="str">
        <x:v>BOQ/provisional</x:v>
      </x:c>
      <x:c r="H72" s="14" t="str">
        <x:v>First-floor waterproofing only in roof package; avoid double count</x:v>
      </x:c>
      <x:c r="I72" t="str">
        <x:v>Included</x:v>
      </x:c>
    </x:row>
    <x:row r="73">
      <x:c r="A73" t="str">
        <x:v>10 Flooring plaster paint</x:v>
      </x:c>
      <x:c r="B73" t="str">
        <x:v>Bathroom nonslip floor tiles</x:v>
      </x:c>
      <x:c r="C73" s="4" t="n">
        <x:v>20</x:v>
      </x:c>
      <x:c r="D73" t="str">
        <x:v>m²</x:v>
      </x:c>
      <x:c r="E73" s="10" t="n">
        <x:v>10587.84</x:v>
      </x:c>
      <x:c r="F73" s="11" t="n">
        <x:f>C73*E73</x:f>
        <x:v>211756.8</x:v>
      </x:c>
      <x:c r="G73" t="str">
        <x:v>BOQ/provisional</x:v>
      </x:c>
      <x:c r="H73" s="14" t="str">
        <x:v>First-floor waterproofing only in roof package; avoid double count</x:v>
      </x:c>
      <x:c r="I73" t="str">
        <x:v>Included</x:v>
      </x:c>
    </x:row>
    <x:row r="74">
      <x:c r="A74" t="str">
        <x:v>10 Flooring plaster paint</x:v>
      </x:c>
      <x:c r="B74" t="str">
        <x:v>Upper floor nonslip tiles</x:v>
      </x:c>
      <x:c r="C74" s="4" t="n">
        <x:v>112</x:v>
      </x:c>
      <x:c r="D74" t="str">
        <x:v>m²</x:v>
      </x:c>
      <x:c r="E74" s="10" t="n">
        <x:v>10587.84</x:v>
      </x:c>
      <x:c r="F74" s="11" t="n">
        <x:f>C74*E74</x:f>
        <x:v>1185838.08</x:v>
      </x:c>
      <x:c r="G74" t="str">
        <x:v>BOQ/provisional</x:v>
      </x:c>
      <x:c r="H74" s="14" t="str">
        <x:v>First-floor waterproofing only in roof package; avoid double count</x:v>
      </x:c>
      <x:c r="I74" t="str">
        <x:v>Included</x:v>
      </x:c>
    </x:row>
    <x:row r="75">
      <x:c r="A75" t="str">
        <x:v>10 Flooring plaster paint</x:v>
      </x:c>
      <x:c r="B75" t="str">
        <x:v>Stair tile finish</x:v>
      </x:c>
      <x:c r="C75" s="4" t="n">
        <x:v>1</x:v>
      </x:c>
      <x:c r="D75" t="str">
        <x:v>lot</x:v>
      </x:c>
      <x:c r="E75" s="10" t="n">
        <x:v>200000</x:v>
      </x:c>
      <x:c r="F75" s="11" t="n">
        <x:f>C75*E75</x:f>
        <x:v>200000</x:v>
      </x:c>
      <x:c r="G75" t="str">
        <x:v>BOQ/provisional</x:v>
      </x:c>
      <x:c r="H75" s="14" t="str">
        <x:v>First-floor waterproofing only in roof package; avoid double count</x:v>
      </x:c>
      <x:c r="I75" t="str">
        <x:v>Included</x:v>
      </x:c>
    </x:row>
    <x:row r="76">
      <x:c r="A76" t="str">
        <x:v>10 Flooring plaster paint</x:v>
      </x:c>
      <x:c r="B76" t="str">
        <x:v>External plaster</x:v>
      </x:c>
      <x:c r="C76" s="4" t="n">
        <x:v>85</x:v>
      </x:c>
      <x:c r="D76" t="str">
        <x:v>m²</x:v>
      </x:c>
      <x:c r="E76" s="10" t="n">
        <x:v>1323.48</x:v>
      </x:c>
      <x:c r="F76" s="11" t="n">
        <x:f>C76*E76</x:f>
        <x:v>112495.8</x:v>
      </x:c>
      <x:c r="G76" t="str">
        <x:v>BOQ/provisional</x:v>
      </x:c>
      <x:c r="H76" s="14" t="str">
        <x:v>First-floor waterproofing only in roof package; avoid double count</x:v>
      </x:c>
      <x:c r="I76" t="str">
        <x:v>Included</x:v>
      </x:c>
    </x:row>
    <x:row r="77">
      <x:c r="A77" t="str">
        <x:v>10 Flooring plaster paint</x:v>
      </x:c>
      <x:c r="B77" t="str">
        <x:v>Internal plaster net of tiled walls</x:v>
      </x:c>
      <x:c r="C77" s="4" t="n">
        <x:v>213</x:v>
      </x:c>
      <x:c r="D77" t="str">
        <x:v>m²</x:v>
      </x:c>
      <x:c r="E77" s="10" t="n">
        <x:v>1538.68</x:v>
      </x:c>
      <x:c r="F77" s="11" t="n">
        <x:f>C77*E77</x:f>
        <x:v>327738.84</x:v>
      </x:c>
      <x:c r="G77" t="str">
        <x:v>BOQ/provisional</x:v>
      </x:c>
      <x:c r="H77" s="14" t="str">
        <x:v>First-floor waterproofing only in roof package; avoid double count</x:v>
      </x:c>
      <x:c r="I77" t="str">
        <x:v>Included</x:v>
      </x:c>
    </x:row>
    <x:row r="78">
      <x:c r="A78" t="str">
        <x:v>10 Flooring plaster paint</x:v>
      </x:c>
      <x:c r="B78" t="str">
        <x:v>External paint</x:v>
      </x:c>
      <x:c r="C78" s="4" t="n">
        <x:v>85</x:v>
      </x:c>
      <x:c r="D78" t="str">
        <x:v>m²</x:v>
      </x:c>
      <x:c r="E78" s="10" t="n">
        <x:v>1300</x:v>
      </x:c>
      <x:c r="F78" s="11" t="n">
        <x:f>C78*E78</x:f>
        <x:v>110500</x:v>
      </x:c>
      <x:c r="G78" t="str">
        <x:v>BOQ/provisional</x:v>
      </x:c>
      <x:c r="H78" s="14" t="str">
        <x:v>First-floor waterproofing only in roof package; avoid double count</x:v>
      </x:c>
      <x:c r="I78" t="str">
        <x:v>Included</x:v>
      </x:c>
    </x:row>
    <x:row r="79">
      <x:c r="A79" t="str">
        <x:v>10 Flooring plaster paint</x:v>
      </x:c>
      <x:c r="B79" t="str">
        <x:v>Internal paint net of tiled walls</x:v>
      </x:c>
      <x:c r="C79" s="4" t="n">
        <x:v>213</x:v>
      </x:c>
      <x:c r="D79" t="str">
        <x:v>m²</x:v>
      </x:c>
      <x:c r="E79" s="10" t="n">
        <x:v>1538.68</x:v>
      </x:c>
      <x:c r="F79" s="11" t="n">
        <x:f>C79*E79</x:f>
        <x:v>327738.84</x:v>
      </x:c>
      <x:c r="G79" t="str">
        <x:v>BOQ/provisional</x:v>
      </x:c>
      <x:c r="H79" s="14" t="str">
        <x:v>First-floor waterproofing only in roof package; avoid double count</x:v>
      </x:c>
      <x:c r="I79" t="str">
        <x:v>Included</x:v>
      </x:c>
    </x:row>
    <x:row r="80">
      <x:c r="A80" t="str">
        <x:v>10 Flooring plaster paint</x:v>
      </x:c>
      <x:c r="B80" t="str">
        <x:v>Ground soffit paint</x:v>
      </x:c>
      <x:c r="C80" s="4" t="n">
        <x:v>112</x:v>
      </x:c>
      <x:c r="D80" t="str">
        <x:v>m²</x:v>
      </x:c>
      <x:c r="E80" s="10" t="n">
        <x:v>1600</x:v>
      </x:c>
      <x:c r="F80" s="11" t="n">
        <x:f>C80*E80</x:f>
        <x:v>179200</x:v>
      </x:c>
      <x:c r="G80" t="str">
        <x:v>BOQ/provisional</x:v>
      </x:c>
      <x:c r="H80" s="14" t="str">
        <x:v>First-floor waterproofing only in roof package; avoid double count</x:v>
      </x:c>
      <x:c r="I80" t="str">
        <x:v>Included</x:v>
      </x:c>
    </x:row>
    <x:row r="81">
      <x:c r="A81" t="str">
        <x:v>10 Flooring plaster paint</x:v>
      </x:c>
      <x:c r="B81" t="str">
        <x:v>Bathroom wall tiles</x:v>
      </x:c>
      <x:c r="C81" s="4" t="n">
        <x:v>72</x:v>
      </x:c>
      <x:c r="D81" t="str">
        <x:v>m²</x:v>
      </x:c>
      <x:c r="E81" s="10" t="n">
        <x:v>10587.84</x:v>
      </x:c>
      <x:c r="F81" s="11" t="n">
        <x:f>C81*E81</x:f>
        <x:v>762324.48</x:v>
      </x:c>
      <x:c r="G81" t="str">
        <x:v>BOQ/provisional</x:v>
      </x:c>
      <x:c r="H81" s="14" t="str">
        <x:v>First-floor waterproofing only in roof package; avoid double count</x:v>
      </x:c>
      <x:c r="I81" t="str">
        <x:v>Included</x:v>
      </x:c>
    </x:row>
    <x:row r="82">
      <x:c r="A82" t="str">
        <x:v>10 Flooring plaster paint</x:v>
      </x:c>
      <x:c r="B82" t="str">
        <x:v>Bathroom floor waterproofing</x:v>
      </x:c>
      <x:c r="C82" s="4" t="n">
        <x:v>20</x:v>
      </x:c>
      <x:c r="D82" t="str">
        <x:v>m²</x:v>
      </x:c>
      <x:c r="E82" s="10" t="n">
        <x:v>5500</x:v>
      </x:c>
      <x:c r="F82" s="11" t="n">
        <x:f>C82*E82</x:f>
        <x:v>110000</x:v>
      </x:c>
      <x:c r="G82" t="str">
        <x:v>BOQ/provisional</x:v>
      </x:c>
      <x:c r="H82" s="14" t="str">
        <x:v>First-floor waterproofing only in roof package; avoid double count</x:v>
      </x:c>
      <x:c r="I82" t="str">
        <x:v>Included</x:v>
      </x:c>
    </x:row>
    <x:row r="83">
      <x:c r="A83" t="str">
        <x:v>11 Doors windows guardrails</x:v>
      </x:c>
      <x:c r="B83" t="str">
        <x:v>Guestroom timber entrance doors</x:v>
      </x:c>
      <x:c r="C83" s="4" t="n">
        <x:v>4</x:v>
      </x:c>
      <x:c r="D83" t="str">
        <x:v>each</x:v>
      </x:c>
      <x:c r="E83" s="10" t="n">
        <x:v>95000</x:v>
      </x:c>
      <x:c r="F83" s="11" t="n">
        <x:f>C83*E83</x:f>
        <x:v>380000</x:v>
      </x:c>
      <x:c r="G83" t="str">
        <x:v>BOQ/provisional</x:v>
      </x:c>
      <x:c r="H83" s="14" t="str">
        <x:v>Check kitchen door necessity and locks overlap</x:v>
      </x:c>
      <x:c r="I83" t="str">
        <x:v>Included</x:v>
      </x:c>
    </x:row>
    <x:row r="84">
      <x:c r="A84" t="str">
        <x:v>11 Doors windows guardrails</x:v>
      </x:c>
      <x:c r="B84" t="str">
        <x:v>Bathroom doors</x:v>
      </x:c>
      <x:c r="C84" s="4" t="n">
        <x:v>4</x:v>
      </x:c>
      <x:c r="D84" t="str">
        <x:v>each</x:v>
      </x:c>
      <x:c r="E84" s="10" t="n">
        <x:v>35000</x:v>
      </x:c>
      <x:c r="F84" s="11" t="n">
        <x:f>C84*E84</x:f>
        <x:v>140000</x:v>
      </x:c>
      <x:c r="G84" t="str">
        <x:v>BOQ/provisional</x:v>
      </x:c>
      <x:c r="H84" s="14" t="str">
        <x:v>Check kitchen door necessity and locks overlap</x:v>
      </x:c>
      <x:c r="I84" t="str">
        <x:v>Included</x:v>
      </x:c>
    </x:row>
    <x:row r="85">
      <x:c r="A85" t="str">
        <x:v>11 Doors windows guardrails</x:v>
      </x:c>
      <x:c r="B85" t="str">
        <x:v>Guestroom aluminium windows</x:v>
      </x:c>
      <x:c r="C85" s="4" t="n">
        <x:v>4</x:v>
      </x:c>
      <x:c r="D85" t="str">
        <x:v>each</x:v>
      </x:c>
      <x:c r="E85" s="10" t="n">
        <x:v>85000</x:v>
      </x:c>
      <x:c r="F85" s="11" t="n">
        <x:f>C85*E85</x:f>
        <x:v>340000</x:v>
      </x:c>
      <x:c r="G85" t="str">
        <x:v>BOQ/provisional</x:v>
      </x:c>
      <x:c r="H85" s="14" t="str">
        <x:v>Check kitchen door necessity and locks overlap</x:v>
      </x:c>
      <x:c r="I85" t="str">
        <x:v>Included</x:v>
      </x:c>
    </x:row>
    <x:row r="86">
      <x:c r="A86" t="str">
        <x:v>11 Doors windows guardrails</x:v>
      </x:c>
      <x:c r="B86" t="str">
        <x:v>Mosquito screens</x:v>
      </x:c>
      <x:c r="C86" s="4" t="n">
        <x:v>4</x:v>
      </x:c>
      <x:c r="D86" t="str">
        <x:v>each</x:v>
      </x:c>
      <x:c r="E86" s="10" t="n">
        <x:v>18000</x:v>
      </x:c>
      <x:c r="F86" s="11" t="n">
        <x:f>C86*E86</x:f>
        <x:v>72000</x:v>
      </x:c>
      <x:c r="G86" t="str">
        <x:v>BOQ/provisional</x:v>
      </x:c>
      <x:c r="H86" s="14" t="str">
        <x:v>Check kitchen door necessity and locks overlap</x:v>
      </x:c>
      <x:c r="I86" t="str">
        <x:v>Included</x:v>
      </x:c>
    </x:row>
    <x:row r="87">
      <x:c r="A87" t="str">
        <x:v>11 Doors windows guardrails</x:v>
      </x:c>
      <x:c r="B87" t="str">
        <x:v>Security lock upgrade</x:v>
      </x:c>
      <x:c r="C87" s="4" t="n">
        <x:v>4</x:v>
      </x:c>
      <x:c r="D87" t="str">
        <x:v>each</x:v>
      </x:c>
      <x:c r="E87" s="10" t="n">
        <x:v>18000</x:v>
      </x:c>
      <x:c r="F87" s="11" t="n">
        <x:f>C87*E87</x:f>
        <x:v>72000</x:v>
      </x:c>
      <x:c r="G87" t="str">
        <x:v>BOQ/provisional</x:v>
      </x:c>
      <x:c r="H87" s="14" t="str">
        <x:v>Check kitchen door necessity and locks overlap</x:v>
      </x:c>
      <x:c r="I87" t="str">
        <x:v>Included</x:v>
      </x:c>
    </x:row>
    <x:row r="88">
      <x:c r="A88" t="str">
        <x:v>11 Doors windows guardrails</x:v>
      </x:c>
      <x:c r="B88" t="str">
        <x:v>Kitchen/service door</x:v>
      </x:c>
      <x:c r="C88" s="4" t="n">
        <x:v>1</x:v>
      </x:c>
      <x:c r="D88" t="str">
        <x:v>each</x:v>
      </x:c>
      <x:c r="E88" s="10" t="n">
        <x:v>65000</x:v>
      </x:c>
      <x:c r="F88" s="11" t="n">
        <x:f>C88*E88</x:f>
        <x:v>65000</x:v>
      </x:c>
      <x:c r="G88" t="str">
        <x:v>BOQ/provisional</x:v>
      </x:c>
      <x:c r="H88" s="14" t="str">
        <x:v>Check kitchen door necessity and locks overlap</x:v>
      </x:c>
      <x:c r="I88" t="str">
        <x:v>Included</x:v>
      </x:c>
    </x:row>
    <x:row r="89">
      <x:c r="A89" t="str">
        <x:v>11 Doors windows guardrails</x:v>
      </x:c>
      <x:c r="B89" t="str">
        <x:v>First-floor guardrails</x:v>
      </x:c>
      <x:c r="C89" s="4" t="n">
        <x:v>18</x:v>
      </x:c>
      <x:c r="D89" t="str">
        <x:v>m</x:v>
      </x:c>
      <x:c r="E89" s="10" t="n">
        <x:v>18040</x:v>
      </x:c>
      <x:c r="F89" s="11" t="n">
        <x:f>C89*E89</x:f>
        <x:v>324720</x:v>
      </x:c>
      <x:c r="G89" t="str">
        <x:v>BOQ/provisional</x:v>
      </x:c>
      <x:c r="H89" s="14" t="str">
        <x:v>Check kitchen door necessity and locks overlap</x:v>
      </x:c>
      <x:c r="I89" t="str">
        <x:v>Included</x:v>
      </x:c>
    </x:row>
    <x:row r="90">
      <x:c r="A90" t="str">
        <x:v>11 Doors windows guardrails</x:v>
      </x:c>
      <x:c r="B90" t="str">
        <x:v>Stair handrails</x:v>
      </x:c>
      <x:c r="C90" s="4" t="n">
        <x:v>6</x:v>
      </x:c>
      <x:c r="D90" t="str">
        <x:v>m</x:v>
      </x:c>
      <x:c r="E90" s="10" t="n">
        <x:v>15744</x:v>
      </x:c>
      <x:c r="F90" s="11" t="n">
        <x:f>C90*E90</x:f>
        <x:v>94464</x:v>
      </x:c>
      <x:c r="G90" t="str">
        <x:v>BOQ/provisional</x:v>
      </x:c>
      <x:c r="H90" s="14" t="str">
        <x:v>Check kitchen door necessity and locks overlap</x:v>
      </x:c>
      <x:c r="I90" t="str">
        <x:v>Included</x:v>
      </x:c>
    </x:row>
    <x:row r="91">
      <x:c r="A91" t="str">
        <x:v>11 Doors windows guardrails</x:v>
      </x:c>
      <x:c r="B91" t="str">
        <x:v>Protective coating/touchup</x:v>
      </x:c>
      <x:c r="C91" s="4" t="n">
        <x:v>1</x:v>
      </x:c>
      <x:c r="D91" t="str">
        <x:v>lot</x:v>
      </x:c>
      <x:c r="E91" s="10" t="n">
        <x:v>60000</x:v>
      </x:c>
      <x:c r="F91" s="11" t="n">
        <x:f>C91*E91</x:f>
        <x:v>60000</x:v>
      </x:c>
      <x:c r="G91" t="str">
        <x:v>BOQ/provisional</x:v>
      </x:c>
      <x:c r="H91" s="14" t="str">
        <x:v>Check kitchen door necessity and locks overlap</x:v>
      </x:c>
      <x:c r="I91" t="str">
        <x:v>Included</x:v>
      </x:c>
    </x:row>
    <x:row r="92">
      <x:c r="A92" t="str">
        <x:v>12 Plumbing wastewater stormwater</x:v>
      </x:c>
      <x:c r="B92" t="str">
        <x:v>Cold water distribution</x:v>
      </x:c>
      <x:c r="C92" s="4" t="n">
        <x:v>1</x:v>
      </x:c>
      <x:c r="D92" t="str">
        <x:v>lot</x:v>
      </x:c>
      <x:c r="E92" s="10" t="n">
        <x:v>160000</x:v>
      </x:c>
      <x:c r="F92" s="11" t="n">
        <x:f>C92*E92</x:f>
        <x:v>160000</x:v>
      </x:c>
      <x:c r="G92" t="str">
        <x:v>Provisional</x:v>
      </x:c>
      <x:c r="H92" s="14" t="str">
        <x:v>Septic feasibility subject to groundwater/soil/approvals</x:v>
      </x:c>
      <x:c r="I92" t="str">
        <x:v>Included</x:v>
      </x:c>
    </x:row>
    <x:row r="93">
      <x:c r="A93" t="str">
        <x:v>12 Plumbing wastewater stormwater</x:v>
      </x:c>
      <x:c r="B93" t="str">
        <x:v>Hot-water connections</x:v>
      </x:c>
      <x:c r="C93" s="4" t="n">
        <x:v>4</x:v>
      </x:c>
      <x:c r="D93" t="str">
        <x:v>rooms</x:v>
      </x:c>
      <x:c r="E93" s="10" t="n">
        <x:v>20000</x:v>
      </x:c>
      <x:c r="F93" s="11" t="n">
        <x:f>C93*E93</x:f>
        <x:v>80000</x:v>
      </x:c>
      <x:c r="G93" t="str">
        <x:v>Provisional</x:v>
      </x:c>
      <x:c r="H93" s="14" t="str">
        <x:v>Septic feasibility subject to groundwater/soil/approvals</x:v>
      </x:c>
      <x:c r="I93" t="str">
        <x:v>Included</x:v>
      </x:c>
    </x:row>
    <x:row r="94">
      <x:c r="A94" t="str">
        <x:v>12 Plumbing wastewater stormwater</x:v>
      </x:c>
      <x:c r="B94" t="str">
        <x:v>Soil/waste/vent pipes</x:v>
      </x:c>
      <x:c r="C94" s="4" t="n">
        <x:v>1</x:v>
      </x:c>
      <x:c r="D94" t="str">
        <x:v>lot</x:v>
      </x:c>
      <x:c r="E94" s="10" t="n">
        <x:v>220000</x:v>
      </x:c>
      <x:c r="F94" s="11" t="n">
        <x:f>C94*E94</x:f>
        <x:v>220000</x:v>
      </x:c>
      <x:c r="G94" t="str">
        <x:v>Provisional</x:v>
      </x:c>
      <x:c r="H94" s="14" t="str">
        <x:v>Septic feasibility subject to groundwater/soil/approvals</x:v>
      </x:c>
      <x:c r="I94" t="str">
        <x:v>Included</x:v>
      </x:c>
    </x:row>
    <x:row r="95">
      <x:c r="A95" t="str">
        <x:v>12 Plumbing wastewater stormwater</x:v>
      </x:c>
      <x:c r="B95" t="str">
        <x:v>Kitchen waste/grease</x:v>
      </x:c>
      <x:c r="C95" s="4" t="n">
        <x:v>1</x:v>
      </x:c>
      <x:c r="D95" t="str">
        <x:v>lot</x:v>
      </x:c>
      <x:c r="E95" s="10" t="n">
        <x:v>65000</x:v>
      </x:c>
      <x:c r="F95" s="11" t="n">
        <x:f>C95*E95</x:f>
        <x:v>65000</x:v>
      </x:c>
      <x:c r="G95" t="str">
        <x:v>Provisional</x:v>
      </x:c>
      <x:c r="H95" s="14" t="str">
        <x:v>Septic feasibility subject to groundwater/soil/approvals</x:v>
      </x:c>
      <x:c r="I95" t="str">
        <x:v>Included</x:v>
      </x:c>
    </x:row>
    <x:row r="96">
      <x:c r="A96" t="str">
        <x:v>12 Plumbing wastewater stormwater</x:v>
      </x:c>
      <x:c r="B96" t="str">
        <x:v>Inspection chambers/drains</x:v>
      </x:c>
      <x:c r="C96" s="4" t="n">
        <x:v>1</x:v>
      </x:c>
      <x:c r="D96" t="str">
        <x:v>lot</x:v>
      </x:c>
      <x:c r="E96" s="10" t="n">
        <x:v>180000</x:v>
      </x:c>
      <x:c r="F96" s="11" t="n">
        <x:f>C96*E96</x:f>
        <x:v>180000</x:v>
      </x:c>
      <x:c r="G96" t="str">
        <x:v>Provisional</x:v>
      </x:c>
      <x:c r="H96" s="14" t="str">
        <x:v>Septic feasibility subject to groundwater/soil/approvals</x:v>
      </x:c>
      <x:c r="I96" t="str">
        <x:v>Included</x:v>
      </x:c>
    </x:row>
    <x:row r="97">
      <x:c r="A97" t="str">
        <x:v>12 Plumbing wastewater stormwater</x:v>
      </x:c>
      <x:c r="B97" t="str">
        <x:v>Testing/valves</x:v>
      </x:c>
      <x:c r="C97" s="4" t="n">
        <x:v>1</x:v>
      </x:c>
      <x:c r="D97" t="str">
        <x:v>lot</x:v>
      </x:c>
      <x:c r="E97" s="10" t="n">
        <x:v>75000</x:v>
      </x:c>
      <x:c r="F97" s="11" t="n">
        <x:f>C97*E97</x:f>
        <x:v>75000</x:v>
      </x:c>
      <x:c r="G97" t="str">
        <x:v>Provisional</x:v>
      </x:c>
      <x:c r="H97" s="14" t="str">
        <x:v>Septic feasibility subject to groundwater/soil/approvals</x:v>
      </x:c>
      <x:c r="I97" t="str">
        <x:v>Included</x:v>
      </x:c>
    </x:row>
    <x:row r="98">
      <x:c r="A98" t="str">
        <x:v>12 Plumbing wastewater stormwater</x:v>
      </x:c>
      <x:c r="B98" t="str">
        <x:v>Septic tank construction</x:v>
      </x:c>
      <x:c r="C98" s="4" t="n">
        <x:v>1</x:v>
      </x:c>
      <x:c r="D98" t="str">
        <x:v>lot</x:v>
      </x:c>
      <x:c r="E98" s="10" t="n">
        <x:v>350000</x:v>
      </x:c>
      <x:c r="F98" s="11" t="n">
        <x:f>C98*E98</x:f>
        <x:v>350000</x:v>
      </x:c>
      <x:c r="G98" t="str">
        <x:v>Provisional</x:v>
      </x:c>
      <x:c r="H98" s="14" t="str">
        <x:v>Septic feasibility subject to groundwater/soil/approvals</x:v>
      </x:c>
      <x:c r="I98" t="str">
        <x:v>Included</x:v>
      </x:c>
    </x:row>
    <x:row r="99">
      <x:c r="A99" t="str">
        <x:v>12 Plumbing wastewater stormwater</x:v>
      </x:c>
      <x:c r="B99" t="str">
        <x:v>Septic connections/covers</x:v>
      </x:c>
      <x:c r="C99" s="4" t="n">
        <x:v>1</x:v>
      </x:c>
      <x:c r="D99" t="str">
        <x:v>lot</x:v>
      </x:c>
      <x:c r="E99" s="10" t="n">
        <x:v>90000</x:v>
      </x:c>
      <x:c r="F99" s="11" t="n">
        <x:f>C99*E99</x:f>
        <x:v>90000</x:v>
      </x:c>
      <x:c r="G99" t="str">
        <x:v>Provisional</x:v>
      </x:c>
      <x:c r="H99" s="14" t="str">
        <x:v>Septic feasibility subject to groundwater/soil/approvals</x:v>
      </x:c>
      <x:c r="I99" t="str">
        <x:v>Included</x:v>
      </x:c>
    </x:row>
    <x:row r="100">
      <x:c r="A100" t="str">
        <x:v>12 Plumbing wastewater stormwater</x:v>
      </x:c>
      <x:c r="B100" t="str">
        <x:v>Effluent disposal/soakaway</x:v>
      </x:c>
      <x:c r="C100" s="4" t="n">
        <x:v>1</x:v>
      </x:c>
      <x:c r="D100" t="str">
        <x:v>lot</x:v>
      </x:c>
      <x:c r="E100" s="10" t="n">
        <x:v>180000</x:v>
      </x:c>
      <x:c r="F100" s="11" t="n">
        <x:f>C100*E100</x:f>
        <x:v>180000</x:v>
      </x:c>
      <x:c r="G100" t="str">
        <x:v>Provisional</x:v>
      </x:c>
      <x:c r="H100" s="14" t="str">
        <x:v>Septic feasibility subject to groundwater/soil/approvals</x:v>
      </x:c>
      <x:c r="I100" t="str">
        <x:v>Included</x:v>
      </x:c>
    </x:row>
    <x:row r="101">
      <x:c r="A101" t="str">
        <x:v>12 Plumbing wastewater stormwater</x:v>
      </x:c>
      <x:c r="B101" t="str">
        <x:v>Wastewater testing/vent</x:v>
      </x:c>
      <x:c r="C101" s="4" t="n">
        <x:v>1</x:v>
      </x:c>
      <x:c r="D101" t="str">
        <x:v>lot</x:v>
      </x:c>
      <x:c r="E101" s="10" t="n">
        <x:v>40000</x:v>
      </x:c>
      <x:c r="F101" s="11" t="n">
        <x:f>C101*E101</x:f>
        <x:v>40000</x:v>
      </x:c>
      <x:c r="G101" t="str">
        <x:v>Provisional</x:v>
      </x:c>
      <x:c r="H101" s="14" t="str">
        <x:v>Septic feasibility subject to groundwater/soil/approvals</x:v>
      </x:c>
      <x:c r="I101" t="str">
        <x:v>Included</x:v>
      </x:c>
    </x:row>
    <x:row r="102">
      <x:c r="A102" t="str">
        <x:v>12 Plumbing wastewater stormwater</x:v>
      </x:c>
      <x:c r="B102" t="str">
        <x:v>Stormwater drains/pipes</x:v>
      </x:c>
      <x:c r="C102" s="4" t="n">
        <x:v>1</x:v>
      </x:c>
      <x:c r="D102" t="str">
        <x:v>lot</x:v>
      </x:c>
      <x:c r="E102" s="10" t="n">
        <x:v>110000</x:v>
      </x:c>
      <x:c r="F102" s="11" t="n">
        <x:f>C102*E102</x:f>
        <x:v>110000</x:v>
      </x:c>
      <x:c r="G102" t="str">
        <x:v>Provisional</x:v>
      </x:c>
      <x:c r="H102" s="14" t="str">
        <x:v>Septic feasibility subject to groundwater/soil/approvals</x:v>
      </x:c>
      <x:c r="I102" t="str">
        <x:v>Included</x:v>
      </x:c>
    </x:row>
    <x:row r="103">
      <x:c r="A103" t="str">
        <x:v>12 Plumbing wastewater stormwater</x:v>
      </x:c>
      <x:c r="B103" t="str">
        <x:v>Stormwater catch pits</x:v>
      </x:c>
      <x:c r="C103" s="4" t="n">
        <x:v>1</x:v>
      </x:c>
      <x:c r="D103" t="str">
        <x:v>lot</x:v>
      </x:c>
      <x:c r="E103" s="10" t="n">
        <x:v>60000</x:v>
      </x:c>
      <x:c r="F103" s="11" t="n">
        <x:f>C103*E103</x:f>
        <x:v>60000</x:v>
      </x:c>
      <x:c r="G103" t="str">
        <x:v>Provisional</x:v>
      </x:c>
      <x:c r="H103" s="14" t="str">
        <x:v>Septic feasibility subject to groundwater/soil/approvals</x:v>
      </x:c>
      <x:c r="I103" t="str">
        <x:v>Included</x:v>
      </x:c>
    </x:row>
    <x:row r="104">
      <x:c r="A104" t="str">
        <x:v>12 Plumbing wastewater stormwater</x:v>
      </x:c>
      <x:c r="B104" t="str">
        <x:v>Stormwater discharge</x:v>
      </x:c>
      <x:c r="C104" s="4" t="n">
        <x:v>1</x:v>
      </x:c>
      <x:c r="D104" t="str">
        <x:v>lot</x:v>
      </x:c>
      <x:c r="E104" s="10" t="n">
        <x:v>80000</x:v>
      </x:c>
      <x:c r="F104" s="11" t="n">
        <x:f>C104*E104</x:f>
        <x:v>80000</x:v>
      </x:c>
      <x:c r="G104" t="str">
        <x:v>Provisional</x:v>
      </x:c>
      <x:c r="H104" s="14" t="str">
        <x:v>Septic feasibility subject to groundwater/soil/approvals</x:v>
      </x:c>
      <x:c r="I104" t="str">
        <x:v>Included</x:v>
      </x:c>
    </x:row>
    <x:row r="105">
      <x:c r="A105" t="str">
        <x:v>13 Electrical communications</x:v>
      </x:c>
      <x:c r="B105" t="str">
        <x:v>Guestroom wiring/sockets</x:v>
      </x:c>
      <x:c r="C105" s="4" t="n">
        <x:v>4</x:v>
      </x:c>
      <x:c r="D105" t="str">
        <x:v>rooms</x:v>
      </x:c>
      <x:c r="E105" s="10" t="n">
        <x:v>80000</x:v>
      </x:c>
      <x:c r="F105" s="11" t="n">
        <x:f>C105*E105</x:f>
        <x:v>320000</x:v>
      </x:c>
      <x:c r="G105" t="str">
        <x:v>Provisional</x:v>
      </x:c>
      <x:c r="H105" s="14" t="str">
        <x:v>Lighting/AC circuits/water heater circuit overlap to reconcile</x:v>
      </x:c>
      <x:c r="I105" t="str">
        <x:v>Included</x:v>
      </x:c>
    </x:row>
    <x:row r="106">
      <x:c r="A106" t="str">
        <x:v>13 Electrical communications</x:v>
      </x:c>
      <x:c r="B106" t="str">
        <x:v>Bedroom/bedside lighting</x:v>
      </x:c>
      <x:c r="C106" s="4" t="n">
        <x:v>4</x:v>
      </x:c>
      <x:c r="D106" t="str">
        <x:v>rooms</x:v>
      </x:c>
      <x:c r="E106" s="10" t="n">
        <x:v>40000</x:v>
      </x:c>
      <x:c r="F106" s="11" t="n">
        <x:f>C106*E106</x:f>
        <x:v>160000</x:v>
      </x:c>
      <x:c r="G106" t="str">
        <x:v>Provisional</x:v>
      </x:c>
      <x:c r="H106" s="14" t="str">
        <x:v>Lighting/AC circuits/water heater circuit overlap to reconcile</x:v>
      </x:c>
      <x:c r="I106" t="str">
        <x:v>Included</x:v>
      </x:c>
    </x:row>
    <x:row r="107">
      <x:c r="A107" t="str">
        <x:v>13 Electrical communications</x:v>
      </x:c>
      <x:c r="B107" t="str">
        <x:v>Bathroom lights/exhaust</x:v>
      </x:c>
      <x:c r="C107" s="4" t="n">
        <x:v>4</x:v>
      </x:c>
      <x:c r="D107" t="str">
        <x:v>rooms</x:v>
      </x:c>
      <x:c r="E107" s="10" t="n">
        <x:v>25000</x:v>
      </x:c>
      <x:c r="F107" s="11" t="n">
        <x:f>C107*E107</x:f>
        <x:v>100000</x:v>
      </x:c>
      <x:c r="G107" t="str">
        <x:v>Provisional</x:v>
      </x:c>
      <x:c r="H107" s="14" t="str">
        <x:v>Lighting/AC circuits/water heater circuit overlap to reconcile</x:v>
      </x:c>
      <x:c r="I107" t="str">
        <x:v>Included</x:v>
      </x:c>
    </x:row>
    <x:row r="108">
      <x:c r="A108" t="str">
        <x:v>13 Electrical communications</x:v>
      </x:c>
      <x:c r="B108" t="str">
        <x:v>Room electrical protection</x:v>
      </x:c>
      <x:c r="C108" s="4" t="n">
        <x:v>4</x:v>
      </x:c>
      <x:c r="D108" t="str">
        <x:v>rooms</x:v>
      </x:c>
      <x:c r="E108" s="10" t="n">
        <x:v>20000</x:v>
      </x:c>
      <x:c r="F108" s="11" t="n">
        <x:f>C108*E108</x:f>
        <x:v>80000</x:v>
      </x:c>
      <x:c r="G108" t="str">
        <x:v>Provisional</x:v>
      </x:c>
      <x:c r="H108" s="14" t="str">
        <x:v>Lighting/AC circuits/water heater circuit overlap to reconcile</x:v>
      </x:c>
      <x:c r="I108" t="str">
        <x:v>Included</x:v>
      </x:c>
    </x:row>
    <x:row r="109">
      <x:c r="A109" t="str">
        <x:v>13 Electrical communications</x:v>
      </x:c>
      <x:c r="B109" t="str">
        <x:v>Coworking power</x:v>
      </x:c>
      <x:c r="C109" s="4" t="n">
        <x:v>8</x:v>
      </x:c>
      <x:c r="D109" t="str">
        <x:v>positions</x:v>
      </x:c>
      <x:c r="E109" s="10" t="n">
        <x:v>15000</x:v>
      </x:c>
      <x:c r="F109" s="11" t="n">
        <x:f>C109*E109</x:f>
        <x:v>120000</x:v>
      </x:c>
      <x:c r="G109" t="str">
        <x:v>Provisional</x:v>
      </x:c>
      <x:c r="H109" s="14" t="str">
        <x:v>Lighting/AC circuits/water heater circuit overlap to reconcile</x:v>
      </x:c>
      <x:c r="I109" t="str">
        <x:v>Included</x:v>
      </x:c>
    </x:row>
    <x:row r="110">
      <x:c r="A110" t="str">
        <x:v>13 Electrical communications</x:v>
      </x:c>
      <x:c r="B110" t="str">
        <x:v>Lounge lighting</x:v>
      </x:c>
      <x:c r="C110" s="4" t="n">
        <x:v>1</x:v>
      </x:c>
      <x:c r="D110" t="str">
        <x:v>lot</x:v>
      </x:c>
      <x:c r="E110" s="10" t="n">
        <x:v>120000</x:v>
      </x:c>
      <x:c r="F110" s="11" t="n">
        <x:f>C110*E110</x:f>
        <x:v>120000</x:v>
      </x:c>
      <x:c r="G110" t="str">
        <x:v>Provisional</x:v>
      </x:c>
      <x:c r="H110" s="14" t="str">
        <x:v>Lighting/AC circuits/water heater circuit overlap to reconcile</x:v>
      </x:c>
      <x:c r="I110" t="str">
        <x:v>Included</x:v>
      </x:c>
    </x:row>
    <x:row r="111">
      <x:c r="A111" t="str">
        <x:v>13 Electrical communications</x:v>
      </x:c>
      <x:c r="B111" t="str">
        <x:v>Ceiling fans</x:v>
      </x:c>
      <x:c r="C111" s="4" t="n">
        <x:v>4</x:v>
      </x:c>
      <x:c r="D111" t="str">
        <x:v>each</x:v>
      </x:c>
      <x:c r="E111" s="10" t="n">
        <x:v>25000</x:v>
      </x:c>
      <x:c r="F111" s="11" t="n">
        <x:f>C111*E111</x:f>
        <x:v>100000</x:v>
      </x:c>
      <x:c r="G111" t="str">
        <x:v>Provisional</x:v>
      </x:c>
      <x:c r="H111" s="14" t="str">
        <x:v>Lighting/AC circuits/water heater circuit overlap to reconcile</x:v>
      </x:c>
      <x:c r="I111" t="str">
        <x:v>Included</x:v>
      </x:c>
    </x:row>
    <x:row r="112">
      <x:c r="A112" t="str">
        <x:v>13 Electrical communications</x:v>
      </x:c>
      <x:c r="B112" t="str">
        <x:v>Kitchen power</x:v>
      </x:c>
      <x:c r="C112" s="4" t="n">
        <x:v>1</x:v>
      </x:c>
      <x:c r="D112" t="str">
        <x:v>lot</x:v>
      </x:c>
      <x:c r="E112" s="10" t="n">
        <x:v>100000</x:v>
      </x:c>
      <x:c r="F112" s="11" t="n">
        <x:f>C112*E112</x:f>
        <x:v>100000</x:v>
      </x:c>
      <x:c r="G112" t="str">
        <x:v>Provisional</x:v>
      </x:c>
      <x:c r="H112" s="14" t="str">
        <x:v>Lighting/AC circuits/water heater circuit overlap to reconcile</x:v>
      </x:c>
      <x:c r="I112" t="str">
        <x:v>Included</x:v>
      </x:c>
    </x:row>
    <x:row r="113">
      <x:c r="A113" t="str">
        <x:v>13 Electrical communications</x:v>
      </x:c>
      <x:c r="B113" t="str">
        <x:v>Main DB/breakers</x:v>
      </x:c>
      <x:c r="C113" s="4" t="n">
        <x:v>1</x:v>
      </x:c>
      <x:c r="D113" t="str">
        <x:v>lot</x:v>
      </x:c>
      <x:c r="E113" s="10" t="n">
        <x:v>180000</x:v>
      </x:c>
      <x:c r="F113" s="11" t="n">
        <x:f>C113*E113</x:f>
        <x:v>180000</x:v>
      </x:c>
      <x:c r="G113" t="str">
        <x:v>Provisional</x:v>
      </x:c>
      <x:c r="H113" s="14" t="str">
        <x:v>Lighting/AC circuits/water heater circuit overlap to reconcile</x:v>
      </x:c>
      <x:c r="I113" t="str">
        <x:v>Included</x:v>
      </x:c>
    </x:row>
    <x:row r="114">
      <x:c r="A114" t="str">
        <x:v>13 Electrical communications</x:v>
      </x:c>
      <x:c r="B114" t="str">
        <x:v>Main cabling/conduits</x:v>
      </x:c>
      <x:c r="C114" s="4" t="n">
        <x:v>1</x:v>
      </x:c>
      <x:c r="D114" t="str">
        <x:v>lot</x:v>
      </x:c>
      <x:c r="E114" s="10" t="n">
        <x:v>150000</x:v>
      </x:c>
      <x:c r="F114" s="11" t="n">
        <x:f>C114*E114</x:f>
        <x:v>150000</x:v>
      </x:c>
      <x:c r="G114" t="str">
        <x:v>Provisional</x:v>
      </x:c>
      <x:c r="H114" s="14" t="str">
        <x:v>Lighting/AC circuits/water heater circuit overlap to reconcile</x:v>
      </x:c>
      <x:c r="I114" t="str">
        <x:v>Included</x:v>
      </x:c>
    </x:row>
    <x:row r="115">
      <x:c r="A115" t="str">
        <x:v>13 Electrical communications</x:v>
      </x:c>
      <x:c r="B115" t="str">
        <x:v>Earthing/surge</x:v>
      </x:c>
      <x:c r="C115" s="4" t="n">
        <x:v>1</x:v>
      </x:c>
      <x:c r="D115" t="str">
        <x:v>lot</x:v>
      </x:c>
      <x:c r="E115" s="10" t="n">
        <x:v>90000</x:v>
      </x:c>
      <x:c r="F115" s="11" t="n">
        <x:f>C115*E115</x:f>
        <x:v>90000</x:v>
      </x:c>
      <x:c r="G115" t="str">
        <x:v>Provisional</x:v>
      </x:c>
      <x:c r="H115" s="14" t="str">
        <x:v>Lighting/AC circuits/water heater circuit overlap to reconcile</x:v>
      </x:c>
      <x:c r="I115" t="str">
        <x:v>Included</x:v>
      </x:c>
    </x:row>
    <x:row r="116">
      <x:c r="A116" t="str">
        <x:v>13 Electrical communications</x:v>
      </x:c>
      <x:c r="B116" t="str">
        <x:v>Emergency lighting/fire alarms</x:v>
      </x:c>
      <x:c r="C116" s="4" t="n">
        <x:v>1</x:v>
      </x:c>
      <x:c r="D116" t="str">
        <x:v>lot</x:v>
      </x:c>
      <x:c r="E116" s="10" t="n">
        <x:v>110000</x:v>
      </x:c>
      <x:c r="F116" s="11" t="n">
        <x:f>C116*E116</x:f>
        <x:v>110000</x:v>
      </x:c>
      <x:c r="G116" t="str">
        <x:v>Provisional</x:v>
      </x:c>
      <x:c r="H116" s="14" t="str">
        <x:v>Lighting/AC circuits/water heater circuit overlap to reconcile</x:v>
      </x:c>
      <x:c r="I116" t="str">
        <x:v>Included</x:v>
      </x:c>
    </x:row>
    <x:row r="117">
      <x:c r="A117" t="str">
        <x:v>13 Electrical communications</x:v>
      </x:c>
      <x:c r="B117" t="str">
        <x:v>Testing/certification</x:v>
      </x:c>
      <x:c r="C117" s="4" t="n">
        <x:v>1</x:v>
      </x:c>
      <x:c r="D117" t="str">
        <x:v>lot</x:v>
      </x:c>
      <x:c r="E117" s="10" t="n">
        <x:v>70000</x:v>
      </x:c>
      <x:c r="F117" s="11" t="n">
        <x:f>C117*E117</x:f>
        <x:v>70000</x:v>
      </x:c>
      <x:c r="G117" t="str">
        <x:v>Provisional</x:v>
      </x:c>
      <x:c r="H117" s="14" t="str">
        <x:v>Lighting/AC circuits/water heater circuit overlap to reconcile</x:v>
      </x:c>
      <x:c r="I117" t="str">
        <x:v>Included</x:v>
      </x:c>
    </x:row>
    <x:row r="118">
      <x:c r="A118" t="str">
        <x:v>13 Electrical communications</x:v>
      </x:c>
      <x:c r="B118" t="str">
        <x:v>Router/switch/cabinet</x:v>
      </x:c>
      <x:c r="C118" s="4" t="n">
        <x:v>1</x:v>
      </x:c>
      <x:c r="D118" t="str">
        <x:v>lot</x:v>
      </x:c>
      <x:c r="E118" s="10" t="n">
        <x:v>65000</x:v>
      </x:c>
      <x:c r="F118" s="11" t="n">
        <x:f>C118*E118</x:f>
        <x:v>65000</x:v>
      </x:c>
      <x:c r="G118" t="str">
        <x:v>Provisional</x:v>
      </x:c>
      <x:c r="H118" s="14" t="str">
        <x:v>Lighting/AC circuits/water heater circuit overlap to reconcile</x:v>
      </x:c>
      <x:c r="I118" t="str">
        <x:v>Included</x:v>
      </x:c>
    </x:row>
    <x:row r="119">
      <x:c r="A119" t="str">
        <x:v>13 Electrical communications</x:v>
      </x:c>
      <x:c r="B119" t="str">
        <x:v>WiFi AP/data cabling</x:v>
      </x:c>
      <x:c r="C119" s="4" t="n">
        <x:v>3</x:v>
      </x:c>
      <x:c r="D119" t="str">
        <x:v>AP</x:v>
      </x:c>
      <x:c r="E119" s="10" t="n">
        <x:v>35000</x:v>
      </x:c>
      <x:c r="F119" s="11" t="n">
        <x:f>C119*E119</x:f>
        <x:v>105000</x:v>
      </x:c>
      <x:c r="G119" t="str">
        <x:v>Provisional</x:v>
      </x:c>
      <x:c r="H119" s="14" t="str">
        <x:v>Lighting/AC circuits/water heater circuit overlap to reconcile</x:v>
      </x:c>
      <x:c r="I119" t="str">
        <x:v>Included</x:v>
      </x:c>
    </x:row>
    <x:row r="120">
      <x:c r="A120" t="str">
        <x:v>13 Electrical communications</x:v>
      </x:c>
      <x:c r="B120" t="str">
        <x:v>Outdoor lighting</x:v>
      </x:c>
      <x:c r="C120" s="4" t="n">
        <x:v>1</x:v>
      </x:c>
      <x:c r="D120" t="str">
        <x:v>lot</x:v>
      </x:c>
      <x:c r="E120" s="10" t="n">
        <x:v>100000</x:v>
      </x:c>
      <x:c r="F120" s="11" t="n">
        <x:f>C120*E120</x:f>
        <x:v>100000</x:v>
      </x:c>
      <x:c r="G120" t="str">
        <x:v>Provisional</x:v>
      </x:c>
      <x:c r="H120" s="14" t="str">
        <x:v>Lighting/AC circuits/water heater circuit overlap to reconcile</x:v>
      </x:c>
      <x:c r="I120" t="str">
        <x:v>Included</x:v>
      </x:c>
    </x:row>
    <x:row r="121">
      <x:c r="A121" t="str">
        <x:v>13 Electrical communications</x:v>
      </x:c>
      <x:c r="B121" t="str">
        <x:v>CCTV</x:v>
      </x:c>
      <x:c r="C121" s="4" t="n">
        <x:v>1</x:v>
      </x:c>
      <x:c r="D121" t="str">
        <x:v>lot</x:v>
      </x:c>
      <x:c r="E121" s="10" t="n">
        <x:v>100000</x:v>
      </x:c>
      <x:c r="F121" s="11" t="n">
        <x:f>C121*E121</x:f>
        <x:v>100000</x:v>
      </x:c>
      <x:c r="G121" t="str">
        <x:v>Provisional</x:v>
      </x:c>
      <x:c r="H121" s="14" t="str">
        <x:v>Lighting/AC circuits/water heater circuit overlap to reconcile</x:v>
      </x:c>
      <x:c r="I121" t="str">
        <x:v>Included</x:v>
      </x:c>
    </x:row>
    <x:row r="122">
      <x:c r="A122" t="str">
        <x:v>14 Generator backup NEW</x:v>
      </x:c>
      <x:c r="B122" t="str">
        <x:v>Diesel generator ~15 kVA acoustic canopy</x:v>
      </x:c>
      <x:c r="C122" s="4" t="n">
        <x:v>1</x:v>
      </x:c>
      <x:c r="D122" t="str">
        <x:v>set</x:v>
      </x:c>
      <x:c r="E122" s="10" t="n">
        <x:v>1800000</x:v>
      </x:c>
      <x:c r="F122" s="11" t="n">
        <x:f>C122*E122</x:f>
        <x:v>1800000</x:v>
      </x:c>
      <x:c r="G122" t="str">
        <x:v>NEW provisional</x:v>
      </x:c>
      <x:c r="H122" s="14" t="str">
        <x:v>15 kVA NOT validated; 4 AC + 2 upstairs AC + pumps + heaters require load and sequencing assessment</x:v>
      </x:c>
      <x:c r="I122" t="str">
        <x:v>Included</x:v>
      </x:c>
    </x:row>
    <x:row r="123">
      <x:c r="A123" t="str">
        <x:v>14 Generator backup NEW</x:v>
      </x:c>
      <x:c r="B123" t="str">
        <x:v>Automatic transfer switch and protection</x:v>
      </x:c>
      <x:c r="C123" s="4" t="n">
        <x:v>1</x:v>
      </x:c>
      <x:c r="D123" t="str">
        <x:v>set</x:v>
      </x:c>
      <x:c r="E123" s="10" t="n">
        <x:v>350000</x:v>
      </x:c>
      <x:c r="F123" s="11" t="n">
        <x:f>C123*E123</x:f>
        <x:v>350000</x:v>
      </x:c>
      <x:c r="G123" t="str">
        <x:v>NEW provisional</x:v>
      </x:c>
      <x:c r="H123" s="14" t="str">
        <x:v>15 kVA NOT validated; 4 AC + 2 upstairs AC + pumps + heaters require load and sequencing assessment</x:v>
      </x:c>
      <x:c r="I123" t="str">
        <x:v>Included</x:v>
      </x:c>
    </x:row>
    <x:row r="124">
      <x:c r="A124" t="str">
        <x:v>14 Generator backup NEW</x:v>
      </x:c>
      <x:c r="B124" t="str">
        <x:v>Plinth, cabling, exhaust and installation</x:v>
      </x:c>
      <x:c r="C124" s="4" t="n">
        <x:v>1</x:v>
      </x:c>
      <x:c r="D124" t="str">
        <x:v>lot</x:v>
      </x:c>
      <x:c r="E124" s="10" t="n">
        <x:v>200000</x:v>
      </x:c>
      <x:c r="F124" s="11" t="n">
        <x:f>C124*E124</x:f>
        <x:v>200000</x:v>
      </x:c>
      <x:c r="G124" t="str">
        <x:v>NEW provisional</x:v>
      </x:c>
      <x:c r="H124" s="14" t="str">
        <x:v>15 kVA NOT validated; 4 AC + 2 upstairs AC + pumps + heaters require load and sequencing assessment</x:v>
      </x:c>
      <x:c r="I124" t="str">
        <x:v>Included</x:v>
      </x:c>
    </x:row>
    <x:row r="125">
      <x:c r="A125" t="str">
        <x:v>14 Generator backup NEW</x:v>
      </x:c>
      <x:c r="B125" t="str">
        <x:v>Initial fuel/testing/commissioning</x:v>
      </x:c>
      <x:c r="C125" s="4" t="n">
        <x:v>1</x:v>
      </x:c>
      <x:c r="D125" t="str">
        <x:v>lot</x:v>
      </x:c>
      <x:c r="E125" s="10" t="n">
        <x:v>100000</x:v>
      </x:c>
      <x:c r="F125" s="11" t="n">
        <x:f>C125*E125</x:f>
        <x:v>100000</x:v>
      </x:c>
      <x:c r="G125" t="str">
        <x:v>NEW provisional</x:v>
      </x:c>
      <x:c r="H125" s="14" t="str">
        <x:v>15 kVA NOT validated; 4 AC + 2 upstairs AC + pumps + heaters require load and sequencing assessment</x:v>
      </x:c>
      <x:c r="I125" t="str">
        <x:v>Included</x:v>
      </x:c>
    </x:row>
    <x:row r="126">
      <x:c r="A126" t="str">
        <x:v>15 First-floor AC NEW</x:v>
      </x:c>
      <x:c r="B126" t="str">
        <x:v>Upper-floor inverter split AC</x:v>
      </x:c>
      <x:c r="C126" s="4" t="n">
        <x:v>2</x:v>
      </x:c>
      <x:c r="D126" t="str">
        <x:v>each</x:v>
      </x:c>
      <x:c r="E126" s="10" t="n">
        <x:v>210000</x:v>
      </x:c>
      <x:c r="F126" s="11" t="n">
        <x:f>C126*E126</x:f>
        <x:v>420000</x:v>
      </x:c>
      <x:c r="G126" t="str">
        <x:v>NEW provisional</x:v>
      </x:c>
      <x:c r="H126" s="14" t="str">
        <x:v>UNSUITABLE for fully open-sided lounge; enclosed conditioned zone required</x:v>
      </x:c>
      <x:c r="I126" t="str">
        <x:v>Included</x:v>
      </x:c>
    </x:row>
    <x:row r="127">
      <x:c r="A127" t="str">
        <x:v>15 First-floor AC NEW</x:v>
      </x:c>
      <x:c r="B127" t="str">
        <x:v>Refrigerant pipes/drains</x:v>
      </x:c>
      <x:c r="C127" s="4" t="n">
        <x:v>2</x:v>
      </x:c>
      <x:c r="D127" t="str">
        <x:v>sets</x:v>
      </x:c>
      <x:c r="E127" s="10" t="n">
        <x:v>35000</x:v>
      </x:c>
      <x:c r="F127" s="11" t="n">
        <x:f>C127*E127</x:f>
        <x:v>70000</x:v>
      </x:c>
      <x:c r="G127" t="str">
        <x:v>NEW provisional</x:v>
      </x:c>
      <x:c r="H127" s="14" t="str">
        <x:v>UNSUITABLE for fully open-sided lounge; enclosed conditioned zone required</x:v>
      </x:c>
      <x:c r="I127" t="str">
        <x:v>Included</x:v>
      </x:c>
    </x:row>
    <x:row r="128">
      <x:c r="A128" t="str">
        <x:v>15 First-floor AC NEW</x:v>
      </x:c>
      <x:c r="B128" t="str">
        <x:v>Installation/commissioning</x:v>
      </x:c>
      <x:c r="C128" s="4" t="n">
        <x:v>2</x:v>
      </x:c>
      <x:c r="D128" t="str">
        <x:v>sets</x:v>
      </x:c>
      <x:c r="E128" s="10" t="n">
        <x:v>30000</x:v>
      </x:c>
      <x:c r="F128" s="11" t="n">
        <x:f>C128*E128</x:f>
        <x:v>60000</x:v>
      </x:c>
      <x:c r="G128" t="str">
        <x:v>NEW provisional</x:v>
      </x:c>
      <x:c r="H128" s="14" t="str">
        <x:v>UNSUITABLE for fully open-sided lounge; enclosed conditioned zone required</x:v>
      </x:c>
      <x:c r="I128" t="str">
        <x:v>Included</x:v>
      </x:c>
    </x:row>
    <x:row r="129">
      <x:c r="A129" t="str">
        <x:v>15 First-floor AC NEW</x:v>
      </x:c>
      <x:c r="B129" t="str">
        <x:v>Dedicated power circuits</x:v>
      </x:c>
      <x:c r="C129" s="4" t="n">
        <x:v>2</x:v>
      </x:c>
      <x:c r="D129" t="str">
        <x:v>sets</x:v>
      </x:c>
      <x:c r="E129" s="10" t="n">
        <x:v>25000</x:v>
      </x:c>
      <x:c r="F129" s="11" t="n">
        <x:f>C129*E129</x:f>
        <x:v>50000</x:v>
      </x:c>
      <x:c r="G129" t="str">
        <x:v>NEW provisional</x:v>
      </x:c>
      <x:c r="H129" s="14" t="str">
        <x:v>UNSUITABLE for fully open-sided lounge; enclosed conditioned zone required</x:v>
      </x:c>
      <x:c r="I129" t="str">
        <x:v>Included</x:v>
      </x:c>
    </x:row>
    <x:row r="130">
      <x:c r="A130" t="str">
        <x:v>16 External works allowances</x:v>
      </x:c>
      <x:c r="B130" t="str">
        <x:v>Site clearing/levelling (incremental)</x:v>
      </x:c>
      <x:c r="C130" s="4" t="n">
        <x:v>1</x:v>
      </x:c>
      <x:c r="D130" t="str">
        <x:v>lot</x:v>
      </x:c>
      <x:c r="E130" s="10" t="n">
        <x:v>450000</x:v>
      </x:c>
      <x:c r="F130" s="11" t="n">
        <x:f>C130*E130</x:f>
        <x:v>450000</x:v>
      </x:c>
      <x:c r="G130" t="str">
        <x:v>Planning midpoint</x:v>
      </x:c>
      <x:c r="H130" s="14" t="str">
        <x:v>20 perches; site geometry unconfirmed; check excavation overlap</x:v>
      </x:c>
      <x:c r="I130" t="str">
        <x:v>Included</x:v>
      </x:c>
    </x:row>
    <x:row r="131">
      <x:c r="A131" t="str">
        <x:v>16 External works allowances</x:v>
      </x:c>
      <x:c r="B131" t="str">
        <x:v>Parking/pathways/paving</x:v>
      </x:c>
      <x:c r="C131" s="4" t="n">
        <x:v>1</x:v>
      </x:c>
      <x:c r="D131" t="str">
        <x:v>lot</x:v>
      </x:c>
      <x:c r="E131" s="10" t="n">
        <x:v>750000</x:v>
      </x:c>
      <x:c r="F131" s="11" t="n">
        <x:f>C131*E131</x:f>
        <x:v>750000</x:v>
      </x:c>
      <x:c r="G131" t="str">
        <x:v>Planning midpoint</x:v>
      </x:c>
      <x:c r="H131" s="14" t="str">
        <x:v>20 perches; site geometry unconfirmed; check excavation overlap</x:v>
      </x:c>
      <x:c r="I131" t="str">
        <x:v>Included</x:v>
      </x:c>
    </x:row>
    <x:row r="132">
      <x:c r="A132" t="str">
        <x:v>16 External works allowances</x:v>
      </x:c>
      <x:c r="B132" t="str">
        <x:v>Boundary fencing/gate</x:v>
      </x:c>
      <x:c r="C132" s="4" t="n">
        <x:v>1</x:v>
      </x:c>
      <x:c r="D132" t="str">
        <x:v>lot</x:v>
      </x:c>
      <x:c r="E132" s="10" t="n">
        <x:v>900000</x:v>
      </x:c>
      <x:c r="F132" s="11" t="n">
        <x:f>C132*E132</x:f>
        <x:v>900000</x:v>
      </x:c>
      <x:c r="G132" t="str">
        <x:v>Planning midpoint</x:v>
      </x:c>
      <x:c r="H132" s="14" t="str">
        <x:v>20 perches; site geometry unconfirmed; check excavation overlap</x:v>
      </x:c>
      <x:c r="I132" t="str">
        <x:v>Included</x:v>
      </x:c>
    </x:row>
    <x:row r="133">
      <x:c r="A133" t="str">
        <x:v>16 External works allowances</x:v>
      </x:c>
      <x:c r="B133" t="str">
        <x:v>Landscape/outdoor furniture</x:v>
      </x:c>
      <x:c r="C133" s="4" t="n">
        <x:v>1</x:v>
      </x:c>
      <x:c r="D133" t="str">
        <x:v>lot</x:v>
      </x:c>
      <x:c r="E133" s="10" t="n">
        <x:v>425000</x:v>
      </x:c>
      <x:c r="F133" s="11" t="n">
        <x:f>C133*E133</x:f>
        <x:v>425000</x:v>
      </x:c>
      <x:c r="G133" t="str">
        <x:v>Planning midpoint</x:v>
      </x:c>
      <x:c r="H133" s="14" t="str">
        <x:v>20 perches; site geometry unconfirmed; check excavation overlap</x:v>
      </x:c>
      <x:c r="I133" t="str">
        <x:v>Included</x:v>
      </x:c>
    </x:row>
    <x:row r="134">
      <x:c r="A134" t="str">
        <x:v>16 External works allowances</x:v>
      </x:c>
      <x:c r="B134" t="str">
        <x:v>Utility connections</x:v>
      </x:c>
      <x:c r="C134" s="4" t="n">
        <x:v>1</x:v>
      </x:c>
      <x:c r="D134" t="str">
        <x:v>lot</x:v>
      </x:c>
      <x:c r="E134" s="10" t="n">
        <x:v>425000</x:v>
      </x:c>
      <x:c r="F134" s="11" t="n">
        <x:f>C134*E134</x:f>
        <x:v>425000</x:v>
      </x:c>
      <x:c r="G134" t="str">
        <x:v>Planning midpoint</x:v>
      </x:c>
      <x:c r="H134" s="14" t="str">
        <x:v>20 perches; site geometry unconfirmed; check excavation overlap</x:v>
      </x:c>
      <x:c r="I134" t="str">
        <x:v>Included</x:v>
      </x:c>
    </x:row>
    <x:row r="135">
      <x:c r="A135" t="str">
        <x:v>17 Fees approvals &amp; opening</x:v>
      </x:c>
      <x:c r="B135" t="str">
        <x:v>Survey/soil investigations</x:v>
      </x:c>
      <x:c r="C135" s="4" t="n">
        <x:v>1</x:v>
      </x:c>
      <x:c r="D135" t="str">
        <x:v>lot</x:v>
      </x:c>
      <x:c r="E135" s="10" t="n">
        <x:v>300000</x:v>
      </x:c>
      <x:c r="F135" s="11" t="n">
        <x:f>C135*E135</x:f>
        <x:v>300000</x:v>
      </x:c>
      <x:c r="G135" t="str">
        <x:v>Planning midpoint</x:v>
      </x:c>
      <x:c r="H135" s="14" t="str">
        <x:v>Working capital is development funding, not construction work</x:v>
      </x:c>
      <x:c r="I135" t="str">
        <x:v>Included</x:v>
      </x:c>
    </x:row>
    <x:row r="136">
      <x:c r="A136" t="str">
        <x:v>17 Fees approvals &amp; opening</x:v>
      </x:c>
      <x:c r="B136" t="str">
        <x:v>Architecture/engineering/QS fees</x:v>
      </x:c>
      <x:c r="C136" s="4" t="n">
        <x:v>1</x:v>
      </x:c>
      <x:c r="D136" t="str">
        <x:v>lot</x:v>
      </x:c>
      <x:c r="E136" s="10" t="n">
        <x:v>2250000</x:v>
      </x:c>
      <x:c r="F136" s="11" t="n">
        <x:f>C136*E136</x:f>
        <x:v>2250000</x:v>
      </x:c>
      <x:c r="G136" t="str">
        <x:v>Planning midpoint</x:v>
      </x:c>
      <x:c r="H136" s="14" t="str">
        <x:v>Working capital is development funding, not construction work</x:v>
      </x:c>
      <x:c r="I136" t="str">
        <x:v>Included</x:v>
      </x:c>
    </x:row>
    <x:row r="137">
      <x:c r="A137" t="str">
        <x:v>17 Fees approvals &amp; opening</x:v>
      </x:c>
      <x:c r="B137" t="str">
        <x:v>Permits/approvals</x:v>
      </x:c>
      <x:c r="C137" s="4" t="n">
        <x:v>1</x:v>
      </x:c>
      <x:c r="D137" t="str">
        <x:v>lot</x:v>
      </x:c>
      <x:c r="E137" s="10" t="n">
        <x:v>350000</x:v>
      </x:c>
      <x:c r="F137" s="11" t="n">
        <x:f>C137*E137</x:f>
        <x:v>350000</x:v>
      </x:c>
      <x:c r="G137" t="str">
        <x:v>Planning midpoint</x:v>
      </x:c>
      <x:c r="H137" s="14" t="str">
        <x:v>Working capital is development funding, not construction work</x:v>
      </x:c>
      <x:c r="I137" t="str">
        <x:v>Included</x:v>
      </x:c>
    </x:row>
    <x:row r="138">
      <x:c r="A138" t="str">
        <x:v>17 Fees approvals &amp; opening</x:v>
      </x:c>
      <x:c r="B138" t="str">
        <x:v>Fire/accessibility additional provision</x:v>
      </x:c>
      <x:c r="C138" s="4" t="n">
        <x:v>1</x:v>
      </x:c>
      <x:c r="D138" t="str">
        <x:v>lot</x:v>
      </x:c>
      <x:c r="E138" s="10" t="n">
        <x:v>400000</x:v>
      </x:c>
      <x:c r="F138" s="11" t="n">
        <x:f>C138*E138</x:f>
        <x:v>400000</x:v>
      </x:c>
      <x:c r="G138" t="str">
        <x:v>Planning midpoint</x:v>
      </x:c>
      <x:c r="H138" s="14" t="str">
        <x:v>Working capital is development funding, not construction work</x:v>
      </x:c>
      <x:c r="I138" t="str">
        <x:v>Included</x:v>
      </x:c>
    </x:row>
    <x:row r="139">
      <x:c r="A139" t="str">
        <x:v>17 Fees approvals &amp; opening</x:v>
      </x:c>
      <x:c r="B139" t="str">
        <x:v>Pre-opening and supplies</x:v>
      </x:c>
      <x:c r="C139" s="4" t="n">
        <x:v>1</x:v>
      </x:c>
      <x:c r="D139" t="str">
        <x:v>lot</x:v>
      </x:c>
      <x:c r="E139" s="10" t="n">
        <x:v>500000</x:v>
      </x:c>
      <x:c r="F139" s="11" t="n">
        <x:f>C139*E139</x:f>
        <x:v>500000</x:v>
      </x:c>
      <x:c r="G139" t="str">
        <x:v>Planning midpoint</x:v>
      </x:c>
      <x:c r="H139" s="14" t="str">
        <x:v>Working capital is development funding, not construction work</x:v>
      </x:c>
      <x:c r="I139" t="str">
        <x:v>Included</x:v>
      </x:c>
    </x:row>
    <x:row r="140">
      <x:c r="A140" t="str">
        <x:v>17 Fees approvals &amp; opening</x:v>
      </x:c>
      <x:c r="B140" t="str">
        <x:v>Initial working capital</x:v>
      </x:c>
      <x:c r="C140" s="4" t="n">
        <x:v>1</x:v>
      </x:c>
      <x:c r="D140" t="str">
        <x:v>lot</x:v>
      </x:c>
      <x:c r="E140" s="10" t="n">
        <x:v>900000</x:v>
      </x:c>
      <x:c r="F140" s="11" t="n">
        <x:f>C140*E140</x:f>
        <x:v>900000</x:v>
      </x:c>
      <x:c r="G140" t="str">
        <x:v>Planning midpoint</x:v>
      </x:c>
      <x:c r="H140" s="14" t="str">
        <x:v>Working capital is development funding, not construction work</x:v>
      </x:c>
      <x:c r="I140" t="str">
        <x:v>Included</x:v>
      </x:c>
    </x:row>
    <x:row r="141">
      <x:c r="A141" t="str">
        <x:v>18 Enclosure upgrade unpriced</x:v>
      </x:c>
      <x:c r="B141" t="str">
        <x:v>Extra airtight enclosure for conditioned upstairs zone</x:v>
      </x:c>
      <x:c r="C141" s="4" t="n">
        <x:v>1</x:v>
      </x:c>
      <x:c r="D141" t="str">
        <x:v>lot</x:v>
      </x:c>
      <x:c r="E141" s="10" t="n">
        <x:v>0</x:v>
      </x:c>
      <x:c r="F141" s="11" t="n">
        <x:f>C141*E141</x:f>
        <x:v>0</x:v>
      </x:c>
      <x:c r="G141" t="str">
        <x:v>UNPRICED</x:v>
      </x:c>
      <x:c r="H141" s="14" t="str">
        <x:v>Enter verified quote in rate cell; not covered by open-sided hybrid screens</x:v>
      </x:c>
      <x:c r="I141" t="str">
        <x:v>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23" hidden="0" customWidth="1"/>
    <x:col min="5" max="5" width="36" hidden="0" customWidth="1"/>
  </x:cols>
  <x:sheetData>
    <x:row r="1" ht="32" customHeight="1">
      <x:c r="A1" s="17" t="str">
        <x:v>PACKAGE COST SUMMARY</x:v>
      </x:c>
      <x:c r="B1" s="17" t="str">
        <x:v>Base (LKR)</x:v>
      </x:c>
      <x:c r="C1" s="17" t="str">
        <x:v>15% contingency</x:v>
      </x:c>
      <x:c r="D1" s="17" t="str">
        <x:v>Total (LKR)</x:v>
      </x:c>
      <x:c r="E1" s="17" t="str">
        <x:v>Basis / notes</x:v>
      </x:c>
    </x:row>
    <x:row r="2">
      <x:c r="A2" t="str">
        <x:v>01 RC structure</x:v>
      </x:c>
      <x:c r="B2" s="11" t="n">
        <x:f>SUMIF('Detailed BOQ'!$A$2:$A$141,A2,'Detailed BOQ'!$F$2:$F$141)</x:f>
        <x:v>6832600</x:v>
      </x:c>
      <x:c r="C2" s="11" t="n">
        <x:f>B2*Assumptions!$B$12</x:f>
        <x:v>1024890</x:v>
      </x:c>
      <x:c r="D2" s="11" t="n">
        <x:f>SUM(B2:C2)</x:f>
        <x:v>7857490</x:v>
      </x:c>
      <x:c r="E2" t="str">
        <x:v>Historical BOQ and/or provisional</x:v>
      </x:c>
    </x:row>
    <x:row r="3">
      <x:c r="A3" t="str">
        <x:v>02 Blockwork &amp; enclosure</x:v>
      </x:c>
      <x:c r="B3" s="11" t="n">
        <x:f>SUMIF('Detailed BOQ'!$A$2:$A$141,A3,'Detailed BOQ'!$F$2:$F$141)</x:f>
        <x:v>2416658</x:v>
      </x:c>
      <x:c r="C3" s="11" t="n">
        <x:f>B3*Assumptions!$B$12</x:f>
        <x:v>362498.7</x:v>
      </x:c>
      <x:c r="D3" s="11" t="n">
        <x:f>SUM(B3:C3)</x:f>
        <x:v>2779156.7</x:v>
      </x:c>
      <x:c r="E3" t="str">
        <x:v>Historical BOQ and/or provisional</x:v>
      </x:c>
    </x:row>
    <x:row r="4">
      <x:c r="A4" t="str">
        <x:v>03 Guestroom interiors</x:v>
      </x:c>
      <x:c r="B4" s="11" t="n">
        <x:f>SUMIF('Detailed BOQ'!$A$2:$A$141,A4,'Detailed BOQ'!$F$2:$F$141)</x:f>
        <x:v>1498153.6</x:v>
      </x:c>
      <x:c r="C4" s="11" t="n">
        <x:f>B4*Assumptions!$B$12</x:f>
        <x:v>224723.04</x:v>
      </x:c>
      <x:c r="D4" s="11" t="n">
        <x:f>SUM(B4:C4)</x:f>
        <x:v>1722876.6400000001</x:v>
      </x:c>
      <x:c r="E4" t="str">
        <x:v>Historical BOQ and/or provisional</x:v>
      </x:c>
    </x:row>
    <x:row r="5">
      <x:c r="A5" t="str">
        <x:v>04 Upper lounge &amp; kitchen interiors</x:v>
      </x:c>
      <x:c r="B5" s="11" t="n">
        <x:f>SUMIF('Detailed BOQ'!$A$2:$A$141,A5,'Detailed BOQ'!$F$2:$F$141)</x:f>
        <x:v>1400000</x:v>
      </x:c>
      <x:c r="C5" s="11" t="n">
        <x:f>B5*Assumptions!$B$12</x:f>
        <x:v>210000</x:v>
      </x:c>
      <x:c r="D5" s="11" t="n">
        <x:f>SUM(B5:C5)</x:f>
        <x:v>1610000</x:v>
      </x:c>
      <x:c r="E5" t="str">
        <x:v>Historical BOQ and/or provisional</x:v>
      </x:c>
    </x:row>
    <x:row r="6">
      <x:c r="A6" t="str">
        <x:v>05 Bathroom fixtures</x:v>
      </x:c>
      <x:c r="B6" s="11" t="n">
        <x:f>SUMIF('Detailed BOQ'!$A$2:$A$141,A6,'Detailed BOQ'!$F$2:$F$141)</x:f>
        <x:v>908000</x:v>
      </x:c>
      <x:c r="C6" s="11" t="n">
        <x:f>B6*Assumptions!$B$12</x:f>
        <x:v>136200</x:v>
      </x:c>
      <x:c r="D6" s="11" t="n">
        <x:f>SUM(B6:C6)</x:f>
        <x:v>1044200</x:v>
      </x:c>
      <x:c r="E6" t="str">
        <x:v>Historical BOQ and/or provisional</x:v>
      </x:c>
    </x:row>
    <x:row r="7">
      <x:c r="A7" t="str">
        <x:v>06 Guestroom split AC</x:v>
      </x:c>
      <x:c r="B7" s="11" t="n">
        <x:f>SUMIF('Detailed BOQ'!$A$2:$A$141,A7,'Detailed BOQ'!$F$2:$F$141)</x:f>
        <x:v>1100000</x:v>
      </x:c>
      <x:c r="C7" s="11" t="n">
        <x:f>B7*Assumptions!$B$12</x:f>
        <x:v>165000</x:v>
      </x:c>
      <x:c r="D7" s="11" t="n">
        <x:f>SUM(B7:C7)</x:f>
        <x:v>1265000</x:v>
      </x:c>
      <x:c r="E7" t="str">
        <x:v>Historical BOQ and/or provisional</x:v>
      </x:c>
    </x:row>
    <x:row r="8">
      <x:c r="A8" t="str">
        <x:v>07 Hot water</x:v>
      </x:c>
      <x:c r="B8" s="11" t="n">
        <x:f>SUMIF('Detailed BOQ'!$A$2:$A$141,A8,'Detailed BOQ'!$F$2:$F$141)</x:f>
        <x:v>480000</x:v>
      </x:c>
      <x:c r="C8" s="11" t="n">
        <x:f>B8*Assumptions!$B$12</x:f>
        <x:v>72000</x:v>
      </x:c>
      <x:c r="D8" s="11" t="n">
        <x:f>SUM(B8:C8)</x:f>
        <x:v>552000</x:v>
      </x:c>
      <x:c r="E8" t="str">
        <x:v>Historical BOQ and/or provisional</x:v>
      </x:c>
    </x:row>
    <x:row r="9">
      <x:c r="A9" t="str">
        <x:v>08 Water pressure &amp; storage</x:v>
      </x:c>
      <x:c r="B9" s="11" t="n">
        <x:f>SUMIF('Detailed BOQ'!$A$2:$A$141,A9,'Detailed BOQ'!$F$2:$F$141)</x:f>
        <x:v>750000</x:v>
      </x:c>
      <x:c r="C9" s="11" t="n">
        <x:f>B9*Assumptions!$B$12</x:f>
        <x:v>112500</x:v>
      </x:c>
      <x:c r="D9" s="11" t="n">
        <x:f>SUM(B9:C9)</x:f>
        <x:v>862500</x:v>
      </x:c>
      <x:c r="E9" t="str">
        <x:v>Historical BOQ and/or provisional</x:v>
      </x:c>
    </x:row>
    <x:row r="10">
      <x:c r="A10" t="str">
        <x:v>09 Roof &amp; terrace waterproofing</x:v>
      </x:c>
      <x:c r="B10" s="11" t="n">
        <x:f>SUMIF('Detailed BOQ'!$A$2:$A$141,A10,'Detailed BOQ'!$F$2:$F$141)</x:f>
        <x:v>5528800</x:v>
      </x:c>
      <x:c r="C10" s="11" t="n">
        <x:f>B10*Assumptions!$B$12</x:f>
        <x:v>829320</x:v>
      </x:c>
      <x:c r="D10" s="11" t="n">
        <x:f>SUM(B10:C10)</x:f>
        <x:v>6358120</x:v>
      </x:c>
      <x:c r="E10" t="str">
        <x:v>Historical BOQ and/or provisional</x:v>
      </x:c>
    </x:row>
    <x:row r="11">
      <x:c r="A11" t="str">
        <x:v>10 Flooring plaster paint</x:v>
      </x:c>
      <x:c r="B11" s="11" t="n">
        <x:f>SUMIF('Detailed BOQ'!$A$2:$A$141,A11,'Detailed BOQ'!$F$2:$F$141)</x:f>
        <x:v>4398722.4399999995</x:v>
      </x:c>
      <x:c r="C11" s="11" t="n">
        <x:f>B11*Assumptions!$B$12</x:f>
        <x:v>659808.3659999999</x:v>
      </x:c>
      <x:c r="D11" s="11" t="n">
        <x:f>SUM(B11:C11)</x:f>
        <x:v>5058530.806</x:v>
      </x:c>
      <x:c r="E11" t="str">
        <x:v>Historical BOQ and/or provisional</x:v>
      </x:c>
    </x:row>
    <x:row r="12">
      <x:c r="A12" t="str">
        <x:v>11 Doors windows guardrails</x:v>
      </x:c>
      <x:c r="B12" s="11" t="n">
        <x:f>SUMIF('Detailed BOQ'!$A$2:$A$141,A12,'Detailed BOQ'!$F$2:$F$141)</x:f>
        <x:v>1548184</x:v>
      </x:c>
      <x:c r="C12" s="11" t="n">
        <x:f>B12*Assumptions!$B$12</x:f>
        <x:v>232227.6</x:v>
      </x:c>
      <x:c r="D12" s="11" t="n">
        <x:f>SUM(B12:C12)</x:f>
        <x:v>1780411.6</x:v>
      </x:c>
      <x:c r="E12" t="str">
        <x:v>Historical BOQ and/or provisional</x:v>
      </x:c>
    </x:row>
    <x:row r="13">
      <x:c r="A13" t="str">
        <x:v>12 Plumbing wastewater stormwater</x:v>
      </x:c>
      <x:c r="B13" s="11" t="n">
        <x:f>SUMIF('Detailed BOQ'!$A$2:$A$141,A13,'Detailed BOQ'!$F$2:$F$141)</x:f>
        <x:v>1690000</x:v>
      </x:c>
      <x:c r="C13" s="11" t="n">
        <x:f>B13*Assumptions!$B$12</x:f>
        <x:v>253500</x:v>
      </x:c>
      <x:c r="D13" s="11" t="n">
        <x:f>SUM(B13:C13)</x:f>
        <x:v>1943500</x:v>
      </x:c>
      <x:c r="E13" t="str">
        <x:v>Historical BOQ and/or provisional</x:v>
      </x:c>
    </x:row>
    <x:row r="14">
      <x:c r="A14" t="str">
        <x:v>13 Electrical communications</x:v>
      </x:c>
      <x:c r="B14" s="11" t="n">
        <x:f>SUMIF('Detailed BOQ'!$A$2:$A$141,A14,'Detailed BOQ'!$F$2:$F$141)</x:f>
        <x:v>2070000</x:v>
      </x:c>
      <x:c r="C14" s="11" t="n">
        <x:f>B14*Assumptions!$B$12</x:f>
        <x:v>310500</x:v>
      </x:c>
      <x:c r="D14" s="11" t="n">
        <x:f>SUM(B14:C14)</x:f>
        <x:v>2380500</x:v>
      </x:c>
      <x:c r="E14" t="str">
        <x:v>Historical BOQ and/or provisional</x:v>
      </x:c>
    </x:row>
    <x:row r="15">
      <x:c r="A15" t="str">
        <x:v>14 Generator backup NEW</x:v>
      </x:c>
      <x:c r="B15" s="11" t="n">
        <x:f>SUMIF('Detailed BOQ'!$A$2:$A$141,A15,'Detailed BOQ'!$F$2:$F$141)</x:f>
        <x:v>2450000</x:v>
      </x:c>
      <x:c r="C15" s="11" t="n">
        <x:f>B15*Assumptions!$B$12</x:f>
        <x:v>367500</x:v>
      </x:c>
      <x:c r="D15" s="11" t="n">
        <x:f>SUM(B15:C15)</x:f>
        <x:v>2817500</x:v>
      </x:c>
      <x:c r="E15" t="str">
        <x:v>New provisional</x:v>
      </x:c>
    </x:row>
    <x:row r="16">
      <x:c r="A16" t="str">
        <x:v>15 First-floor AC NEW</x:v>
      </x:c>
      <x:c r="B16" s="11" t="n">
        <x:f>SUMIF('Detailed BOQ'!$A$2:$A$141,A16,'Detailed BOQ'!$F$2:$F$141)</x:f>
        <x:v>600000</x:v>
      </x:c>
      <x:c r="C16" s="11" t="n">
        <x:f>B16*Assumptions!$B$12</x:f>
        <x:v>90000</x:v>
      </x:c>
      <x:c r="D16" s="11" t="n">
        <x:f>SUM(B16:C16)</x:f>
        <x:v>690000</x:v>
      </x:c>
      <x:c r="E16" t="str">
        <x:v>New provisional</x:v>
      </x:c>
    </x:row>
    <x:row r="17">
      <x:c r="A17" t="str">
        <x:v>16 External works allowances</x:v>
      </x:c>
      <x:c r="B17" s="11" t="n">
        <x:f>SUMIF('Detailed BOQ'!$A$2:$A$141,A17,'Detailed BOQ'!$F$2:$F$141)</x:f>
        <x:v>2950000</x:v>
      </x:c>
      <x:c r="C17" s="11" t="n">
        <x:f>B17*Assumptions!$B$12</x:f>
        <x:v>442500</x:v>
      </x:c>
      <x:c r="D17" s="11" t="n">
        <x:f>SUM(B17:C17)</x:f>
        <x:v>3392500</x:v>
      </x:c>
      <x:c r="E17" t="str">
        <x:v>New provisional</x:v>
      </x:c>
    </x:row>
    <x:row r="18">
      <x:c r="A18" t="str">
        <x:v>17 Fees approvals &amp; opening</x:v>
      </x:c>
      <x:c r="B18" s="11" t="n">
        <x:f>SUMIF('Detailed BOQ'!$A$2:$A$141,A18,'Detailed BOQ'!$F$2:$F$141)</x:f>
        <x:v>4700000</x:v>
      </x:c>
      <x:c r="C18" s="11" t="n">
        <x:f>B18*Assumptions!$B$12</x:f>
        <x:v>705000</x:v>
      </x:c>
      <x:c r="D18" s="11" t="n">
        <x:f>SUM(B18:C18)</x:f>
        <x:v>5405000</x:v>
      </x:c>
      <x:c r="E18" t="str">
        <x:v>New provisional</x:v>
      </x:c>
    </x:row>
    <x:row r="19">
      <x:c r="A19" t="str">
        <x:v>18 Enclosure upgrade unpriced</x:v>
      </x:c>
      <x:c r="B19" s="11" t="n">
        <x:f>SUMIF('Detailed BOQ'!$A$2:$A$141,A19,'Detailed BOQ'!$F$2:$F$141)</x:f>
        <x:v>0</x:v>
      </x:c>
      <x:c r="C19" s="11" t="n">
        <x:f>B19*Assumptions!$B$12</x:f>
        <x:v>0</x:v>
      </x:c>
      <x:c r="D19" s="11" t="n">
        <x:f>SUM(B19:C19)</x:f>
        <x:v>0</x:v>
      </x:c>
      <x:c r="E19" t="str">
        <x:v>New provisional</x:v>
      </x:c>
    </x:row>
    <x:row r="20">
      <x:c r="B20" s="11"/>
      <x:c r="C20" s="11"/>
      <x:c r="D20" s="11"/>
    </x:row>
    <x:row r="21" ht="27" customHeight="1">
      <x:c r="A21" s="22" t="str">
        <x:v>TOTAL ALL PACKAGES</x:v>
      </x:c>
      <x:c r="B21" s="23" t="n">
        <x:f>SUM(B2:B19)</x:f>
        <x:v>41321118.04</x:v>
      </x:c>
      <x:c r="C21" s="23" t="n">
        <x:f>SUM(C2:C19)</x:f>
        <x:v>6198167.706</x:v>
      </x:c>
      <x:c r="D21" s="23" t="n">
        <x:f>SUM(D2:D19)</x:f>
        <x:v>47519285.746</x:v>
      </x:c>
      <x:c r="E21" s="22"/>
    </x:row>
    <x:row r="22">
      <x:c r="B22" s="11"/>
      <x:c r="C22" s="11"/>
      <x:c r="D22" s="11"/>
    </x:row>
    <x:row r="23">
      <x:c r="A23" t="str">
        <x:v>Prior scope, recalculated</x:v>
      </x:c>
      <x:c r="B23" s="11"/>
      <x:c r="C23" s="11"/>
      <x:c r="D23" s="11" t="n">
        <x:f>SUM(D2:D14)</x:f>
        <x:v>35214285.746</x:v>
      </x:c>
    </x:row>
    <x:row r="24">
      <x:c r="A24" t="str">
        <x:v>Generator backup (new)</x:v>
      </x:c>
      <x:c r="B24" s="11"/>
      <x:c r="C24" s="11"/>
      <x:c r="D24" s="11" t="n">
        <x:f>SUM(D15:D15)</x:f>
        <x:v>2817500</x:v>
      </x:c>
    </x:row>
    <x:row r="25">
      <x:c r="A25" t="str">
        <x:v>First-floor AC (new)</x:v>
      </x:c>
      <x:c r="B25" s="11"/>
      <x:c r="C25" s="11"/>
      <x:c r="D25" s="11" t="n">
        <x:f>SUM(D16:D16)</x:f>
        <x:v>690000</x:v>
      </x:c>
    </x:row>
    <x:row r="26">
      <x:c r="A26" t="str">
        <x:v>External works allowance</x:v>
      </x:c>
      <x:c r="B26" s="11"/>
      <x:c r="C26" s="11"/>
      <x:c r="D26" s="11" t="n">
        <x:f>SUM(D17:D17)</x:f>
        <x:v>3392500</x:v>
      </x:c>
    </x:row>
    <x:row r="27">
      <x:c r="A27" t="str">
        <x:v>Fees, approvals, pre-opening &amp; WC</x:v>
      </x:c>
      <x:c r="B27" s="11"/>
      <x:c r="C27" s="11"/>
      <x:c r="D27" s="11" t="n">
        <x:f>SUM(D18:D18)</x:f>
        <x:v>5405000</x:v>
      </x:c>
    </x:row>
    <x:row r="28">
      <x:c r="A28" t="str">
        <x:v>Enclosure upgrade (unpriced)</x:v>
      </x:c>
      <x:c r="B28" s="11"/>
      <x:c r="C28" s="11"/>
      <x:c r="D28" s="11" t="n">
        <x:f>SUM(D19:D19)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10" hidden="0" customWidth="1"/>
  </x:cols>
  <x:sheetData>
    <x:row r="1" ht="32" customHeight="1">
      <x:c r="A1" s="17" t="str">
        <x:v>TOPIC</x:v>
      </x:c>
      <x:c r="B1" s="17" t="str">
        <x:v>STATUS</x:v>
      </x:c>
      <x:c r="C1" s="17" t="str">
        <x:v>REQUIRED ACTION</x:v>
      </x:c>
    </x:row>
    <x:row r="2">
      <x:c r="A2" t="str">
        <x:v>Upstairs AC</x:v>
      </x:c>
      <x:c r="B2" t="str">
        <x:v>Design conflict</x:v>
      </x:c>
      <x:c r="C2" s="14" t="str">
        <x:v>Open-sided covered lounge cannot be efficiently cooled by split AC. Define enclosed coworking zone and quote additional glazing/insulation; budget zero placeholder.</x:v>
      </x:c>
    </x:row>
    <x:row r="3">
      <x:c r="A3" t="str">
        <x:v>Generator sizing</x:v>
      </x:c>
      <x:c r="B3" t="str">
        <x:v>Unverified</x:v>
      </x:c>
      <x:c r="C3" s="14" t="str">
        <x:v>Engineer to calculate simultaneous demand, motor starting current, AC inverter load, water heaters, pump and essential/non-essential circuits. 15 kVA only an allowance.</x:v>
      </x:c>
    </x:row>
    <x:row r="4">
      <x:c r="A4" t="str">
        <x:v>Generator fuel and operating cost</x:v>
      </x:c>
      <x:c r="B4" t="str">
        <x:v>Excluded</x:v>
      </x:c>
      <x:c r="C4" s="14" t="str">
        <x:v>Fuel consumption, servicing, fuel storage compliance, noise and exhaust siting not in construction estimate.</x:v>
      </x:c>
    </x:row>
    <x:row r="5">
      <x:c r="A5" t="str">
        <x:v>First-floor enclosure</x:v>
      </x:c>
      <x:c r="B5" t="str">
        <x:v>Potential duplication</x:v>
      </x:c>
      <x:c r="C5" s="14" t="str">
        <x:v>Prior 40 m² hybrid screens/aluminium allowance may not be sealed; reconcile if replacing with airtight glazing.</x:v>
      </x:c>
    </x:row>
    <x:row r="6">
      <x:c r="A6" t="str">
        <x:v>Lighting overlaps</x:v>
      </x:c>
      <x:c r="B6" t="str">
        <x:v>Potential duplication</x:v>
      </x:c>
      <x:c r="C6" s="14" t="str">
        <x:v>Guestroom interior lighting 100k + electrical bedroom lighting 160k; upper interiors lighting allowance overlaps 120k lounge lighting.</x:v>
      </x:c>
    </x:row>
    <x:row r="7">
      <x:c r="A7" t="str">
        <x:v>Bathroom mirrors</x:v>
      </x:c>
      <x:c r="B7" t="str">
        <x:v>Potential duplication</x:v>
      </x:c>
      <x:c r="C7" s="14" t="str">
        <x:v>Guestroom mirrors/accessories 80k and bathroom mirror fixtures 40k; clarify scope.</x:v>
      </x:c>
    </x:row>
    <x:row r="8">
      <x:c r="A8" t="str">
        <x:v>Piping overlaps</x:v>
      </x:c>
      <x:c r="B8" t="str">
        <x:v>Potential duplication</x:v>
      </x:c>
      <x:c r="C8" s="14" t="str">
        <x:v>Water-pressure distribution 180k, plumbing cold-water distribution 160k and hot water connections 80k; reconcile pipe lengths.</x:v>
      </x:c>
    </x:row>
    <x:row r="9">
      <x:c r="A9" t="str">
        <x:v>Roof waterproofing</x:v>
      </x:c>
      <x:c r="B9" t="str">
        <x:v>Revised</x:v>
      </x:c>
      <x:c r="C9" s="14" t="str">
        <x:v>Full 112 m² upper floor waterproofing now included ONCE under roof; earlier 20 m² is not additional.</x:v>
      </x:c>
    </x:row>
    <x:row r="10">
      <x:c r="A10" t="str">
        <x:v>Stairs</x:v>
      </x:c>
      <x:c r="B10" t="str">
        <x:v>Potential overlap</x:v>
      </x:c>
      <x:c r="C10" s="14" t="str">
        <x:v>RC stair 750k, tile finish 200k, handrails 94,464 are intended separate; verify inclusions.</x:v>
      </x:c>
    </x:row>
    <x:row r="11">
      <x:c r="A11" t="str">
        <x:v>External works</x:v>
      </x:c>
      <x:c r="B11" t="str">
        <x:v>Site unverified</x:v>
      </x:c>
      <x:c r="C11" s="14" t="str">
        <x:v>20 perches, road frontage and slope unknown; fencing, parking, septic layout subject to survey.</x:v>
      </x:c>
    </x:row>
    <x:row r="12">
      <x:c r="A12" t="str">
        <x:v>Soil and wastewater</x:v>
      </x:c>
      <x:c r="B12" t="str">
        <x:v>Unverified</x:v>
      </x:c>
      <x:c r="C12" s="14" t="str">
        <x:v>Soil bearing, permeability, groundwater, septic approvals and water source to be established.</x:v>
      </x:c>
    </x:row>
    <x:row r="13">
      <x:c r="A13" t="str">
        <x:v>Historical BOQ rates</x:v>
      </x:c>
      <x:c r="B13" t="str">
        <x:v>Not current market prices</x:v>
      </x:c>
      <x:c r="C13" s="14" t="str">
        <x:v>BOQ from supplied Ahangama Option 2 / Breakdown; confirm quote dates, contractor prices and VAT.</x:v>
      </x:c>
    </x:row>
    <x:row r="14">
      <x:c r="A14" t="str">
        <x:v>Land cost</x:v>
      </x:c>
      <x:c r="B14" t="str">
        <x:v>Excluded</x:v>
      </x:c>
      <x:c r="C14" s="14" t="str">
        <x:v>Add purchase price or existing land equity in finance model.</x:v>
      </x:c>
    </x:row>
    <x:row r="15">
      <x:c r="A15" t="str">
        <x:v>Taxes and financing</x:v>
      </x:c>
      <x:c r="B15" t="str">
        <x:v>Excluded</x:v>
      </x:c>
      <x:c r="C15" s="14" t="str">
        <x:v>VAT/taxes, loan interest, fees, escalation, land transfer costs, insurance and additional statutory costs require separate model.</x:v>
      </x:c>
    </x:row>
    <x:row r="16">
      <x:c r="A16" t="str">
        <x:v>Contingency</x:v>
      </x:c>
      <x:c r="B16" t="str">
        <x:v>Model convention</x:v>
      </x:c>
      <x:c r="C16" s="14" t="str">
        <x:v>15% added to all packages for planning, including allowances and working capital; finance-stage model should separate construction contingency from funding reserves.</x:v>
      </x:c>
    </x:row>
    <x:row r="17">
      <x:c r="A17" t="str">
        <x:v>Budget comparison</x:v>
      </x:c>
      <x:c r="B17" t="str">
        <x:v>Caution</x:v>
      </x:c>
      <x:c r="C17" s="14" t="str">
        <x:v>This workbook recalculates every prior line item. Minor deviations from previously quoted Rs 35.214m are expected due to rounding and earlier arithmetic.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0" hidden="0" customWidth="1"/>
    <x:col min="3" max="3" width="72" hidden="0" customWidth="1"/>
    <x:col min="4" max="4" width="44" hidden="0" customWidth="1"/>
  </x:cols>
  <x:sheetData>
    <x:row r="1" ht="32" customHeight="1">
      <x:c r="A1" s="17" t="str">
        <x:v>Source</x:v>
      </x:c>
      <x:c r="B1" s="17" t="str">
        <x:v>Location</x:v>
      </x:c>
      <x:c r="C1" s="17" t="str">
        <x:v>Rates / use</x:v>
      </x:c>
      <x:c r="D1" s="17" t="str">
        <x:v>Reliability</x:v>
      </x:c>
    </x:row>
    <x:row r="2">
      <x:c r="A2" t="str">
        <x:v>Ahangama -Option 2.pdf</x:v>
      </x:c>
      <x:c r="B2" t="str">
        <x:v>Uploaded project PDF</x:v>
      </x:c>
      <x:c r="C2" t="str">
        <x:v>Concrete, rebar, block, tiles, plaster, paint, roof, railings, sanitary</x:v>
      </x:c>
      <x:c r="D2" t="str">
        <x:v>Historical source BOQ; not a current quote</x:v>
      </x:c>
    </x:row>
    <x:row r="3">
      <x:c r="A3" t="str">
        <x:v>Breakdown.pdf</x:v>
      </x:c>
      <x:c r="B3" t="str">
        <x:v>Uploaded project PDF</x:v>
      </x:c>
      <x:c r="C3" t="str">
        <x:v>King mattress Rs 65,000; pillows Rs 6,000</x:v>
      </x:c>
      <x:c r="D3" t="str">
        <x:v>Historical source BOQ</x:v>
      </x:c>
    </x:row>
    <x:row r="4">
      <x:c r="A4" t="str">
        <x:v>Project conversation V1-V12</x:v>
      </x:c>
      <x:c r="B4" t="str">
        <x:v>This project conversation</x:v>
      </x:c>
      <x:c r="C4" t="str">
        <x:v>Prior allowances and scope decisions</x:v>
      </x:c>
      <x:c r="D4" t="str">
        <x:v>Conceptual; not independently verified</x:v>
      </x:c>
    </x:row>
    <x:row r="5">
      <x:c r="A5" t="str">
        <x:v>New generator allowance</x:v>
      </x:c>
      <x:c r="B5" t="str">
        <x:v>Model input</x:v>
      </x:c>
      <x:c r="C5" t="str">
        <x:v>15 kVA generator/ATS/installation/fuel</x:v>
      </x:c>
      <x:c r="D5" t="str">
        <x:v>Provisional; no supplier quote</x:v>
      </x:c>
    </x:row>
    <x:row r="6">
      <x:c r="A6" t="str">
        <x:v>New first-floor AC allowance</x:v>
      </x:c>
      <x:c r="B6" t="str">
        <x:v>Model input</x:v>
      </x:c>
      <x:c r="C6" t="str">
        <x:v>Two split AC systems; conditioned enclosure not included</x:v>
      </x:c>
      <x:c r="D6" t="str">
        <x:v>Provisional; open-air incompatibility</x:v>
      </x:c>
    </x:row>
    <x:row r="7">
      <x:c r="A7" t="str">
        <x:v>External works and fees</x:v>
      </x:c>
      <x:c r="B7" t="str">
        <x:v>Prior project discussion</x:v>
      </x:c>
      <x:c r="C7" t="str">
        <x:v>Midpoints of previously discussed ranges</x:v>
      </x:c>
      <x:c r="D7" t="str">
        <x:v>Provisional; no site survey</x:v>
      </x:c>
    </x:row>
  </x:sheetData>
  <x:pageMargins left="0.7" right="0.7" top="0.75" bottom="0.75" header="0.3" footer="0.3"/>
</x:worksheet>
</file>